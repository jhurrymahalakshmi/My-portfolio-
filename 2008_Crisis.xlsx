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xl/charts/style20.xml" ContentType="application/vnd.ms-office.chartstyle+xml"/>
  <Override PartName="/xl/charts/chart11.xml" ContentType="application/vnd.openxmlformats-officedocument.drawingml.chart+xml"/>
  <Override PartName="/xl/charts/chart19.xml" ContentType="application/vnd.openxmlformats-officedocument.drawingml.chart+xml"/>
  <Override PartName="/xl/charts/style9.xml" ContentType="application/vnd.ms-office.chartstyle+xml"/>
  <Override PartName="/xl/charts/chart6.xml" ContentType="application/vnd.openxmlformats-officedocument.drawingml.chart+xml"/>
  <Override PartName="/xl/charts/style17.xml" ContentType="application/vnd.ms-office.chartstyle+xml"/>
  <Override PartName="/xl/charts/colors5.xml" ContentType="application/vnd.ms-office.chartcolorstyle+xml"/>
  <Override PartName="/xl/charts/colors21.xml" ContentType="application/vnd.ms-office.chartcolorstyle+xml"/>
  <Override PartName="/xl/charts/chart14.xml" ContentType="application/vnd.openxmlformats-officedocument.drawingml.chart+xml"/>
  <Override PartName="/xl/charts/colors4.xml" ContentType="application/vnd.ms-office.chartcolorstyle+xml"/>
  <Override PartName="/xl/charts/style12.xml" ContentType="application/vnd.ms-office.chartstyle+xml"/>
  <Override PartName="/xl/charts/style5.xml" ContentType="application/vnd.ms-office.chartstyle+xml"/>
  <Override PartName="/xl/charts/chart10.xml" ContentType="application/vnd.openxmlformats-officedocument.drawingml.chart+xml"/>
  <Override PartName="/xl/charts/chart3.xml" ContentType="application/vnd.openxmlformats-officedocument.drawingml.chart+xml"/>
  <Override PartName="/xl/charts/chart9.xml" ContentType="application/vnd.openxmlformats-officedocument.drawingml.chart+xml"/>
  <Override PartName="/xl/charts/colors19.xml" ContentType="application/vnd.ms-office.chartcolorstyle+xml"/>
  <Override PartName="/xl/charts/colors13.xml" ContentType="application/vnd.ms-office.chartcolorstyle+xml"/>
  <Override PartName="/xl/charts/style6.xml" ContentType="application/vnd.ms-office.chartstyle+xml"/>
  <Override PartName="/xl/charts/chart20.xml" ContentType="application/vnd.openxmlformats-officedocument.drawingml.chart+xml"/>
  <Override PartName="/xl/charts/colors20.xml" ContentType="application/vnd.ms-office.chartcolorstyle+xml"/>
  <Override PartName="/xl/charts/colors9.xml" ContentType="application/vnd.ms-office.chartcolorstyle+xml"/>
  <Override PartName="/xl/charts/style1.xml" ContentType="application/vnd.ms-office.chartstyle+xml"/>
  <Override PartName="/xl/charts/chart2.xml" ContentType="application/vnd.openxmlformats-officedocument.drawingml.chart+xml"/>
  <Override PartName="/xl/charts/chart12.xml" ContentType="application/vnd.openxmlformats-officedocument.drawingml.chart+xml"/>
  <Override PartName="/xl/charts/chart18.xml" ContentType="application/vnd.openxmlformats-officedocument.drawingml.chart+xml"/>
  <Override PartName="/xl/charts/style4.xml" ContentType="application/vnd.ms-office.chartstyle+xml"/>
  <Override PartName="/xl/charts/colors8.xml" ContentType="application/vnd.ms-office.chartcolorstyle+xml"/>
  <Override PartName="/xl/charts/colors1.xml" ContentType="application/vnd.ms-office.chartcolorstyle+xml"/>
  <Override PartName="/xl/charts/chart5.xml" ContentType="application/vnd.openxmlformats-officedocument.drawingml.chart+xml"/>
  <Override PartName="/xl/charts/colors7.xml" ContentType="application/vnd.ms-office.chartcolorstyle+xml"/>
  <Override PartName="/xl/charts/style2.xml" ContentType="application/vnd.ms-office.chartstyle+xml"/>
  <Override PartName="/xl/charts/chart8.xml" ContentType="application/vnd.openxmlformats-officedocument.drawingml.chart+xml"/>
  <Override PartName="/xl/charts/style7.xml" ContentType="application/vnd.ms-office.chartstyle+xml"/>
  <Override PartName="/xl/charts/colors6.xml" ContentType="application/vnd.ms-office.chartcolorstyle+xml"/>
  <Override PartName="/xl/charts/chart1.xml" ContentType="application/vnd.openxmlformats-officedocument.drawingml.chart+xml"/>
  <Override PartName="/xl/charts/colors15.xml" ContentType="application/vnd.ms-office.chartcolorstyle+xml"/>
  <Override PartName="/xl/charts/style3.xml" ContentType="application/vnd.ms-office.chartstyle+xml"/>
  <Override PartName="/xl/charts/chart7.xml" ContentType="application/vnd.openxmlformats-officedocument.drawingml.chart+xml"/>
  <Override PartName="/xl/charts/chart21.xml" ContentType="application/vnd.openxmlformats-officedocument.drawingml.chart+xml"/>
  <Override PartName="/xl/charts/style19.xml" ContentType="application/vnd.ms-office.chartstyle+xml"/>
  <Override PartName="/xl/charts/colors3.xml" ContentType="application/vnd.ms-office.chartcolorstyle+xml"/>
  <Override PartName="/xl/charts/colors11.xml" ContentType="application/vnd.ms-office.chartcolorstyle+xml"/>
  <Override PartName="/xl/charts/chart4.xml" ContentType="application/vnd.openxmlformats-officedocument.drawingml.chart+xml"/>
  <Override PartName="/xl/charts/chart15.xml" ContentType="application/vnd.openxmlformats-officedocument.drawingml.chart+xml"/>
  <Override PartName="/xl/charts/style10.xml" ContentType="application/vnd.ms-office.chartstyle+xml"/>
  <Override PartName="/xl/charts/colors2.xml" ContentType="application/vnd.ms-office.chartcolorstyle+xml"/>
  <Override PartName="/xl/charts/style16.xml" ContentType="application/vnd.ms-office.chartstyle+xml"/>
  <Override PartName="/xl/charts/colors14.xml" ContentType="application/vnd.ms-office.chartcolorstyle+xml"/>
  <Override PartName="/xl/charts/style15.xml" ContentType="application/vnd.ms-office.chartstyle+xml"/>
  <Override PartName="/xl/charts/colors10.xml" ContentType="application/vnd.ms-office.chartcolorstyle+xml"/>
  <Override PartName="/xl/charts/colors12.xml" ContentType="application/vnd.ms-office.chartcolorstyle+xml"/>
  <Override PartName="/xl/charts/style11.xml" ContentType="application/vnd.ms-office.chartstyle+xml"/>
  <Override PartName="/xl/charts/chart16.xml" ContentType="application/vnd.openxmlformats-officedocument.drawingml.chart+xml"/>
  <Override PartName="/xl/charts/style21.xml" ContentType="application/vnd.ms-office.chartstyle+xml"/>
  <Override PartName="/xl/charts/chart13.xml" ContentType="application/vnd.openxmlformats-officedocument.drawingml.chart+xml"/>
  <Override PartName="/xl/charts/style14.xml" ContentType="application/vnd.ms-office.chartstyle+xml"/>
  <Override PartName="/xl/charts/style13.xml" ContentType="application/vnd.ms-office.chartstyle+xml"/>
  <Override PartName="/xl/charts/style18.xml" ContentType="application/vnd.ms-office.chartstyle+xml"/>
  <Override PartName="/xl/charts/colors16.xml" ContentType="application/vnd.ms-office.chartcolorstyle+xml"/>
  <Override PartName="/xl/charts/style8.xml" ContentType="application/vnd.ms-office.chartstyle+xml"/>
  <Override PartName="/xl/charts/chart17.xml" ContentType="application/vnd.openxmlformats-officedocument.drawingml.chart+xml"/>
  <Override PartName="/xl/charts/colors17.xml" ContentType="application/vnd.ms-office.chartcolor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TRO1" sheetId="1" state="visible" r:id="rId3"/>
    <sheet name="DATABASE 1"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Rishta Jhurry</author>
  </authors>
  <commentList>
    <comment ref="B7" authorId="0">
      <text>
        <r>
          <rPr>
            <sz val="10"/>
            <rFont val="Noto Sans"/>
            <family val="2"/>
          </rPr>
          <t xml:space="preserve">Il debito pubblico trimestrale si riferisce al debito alla fine di ogni trimestre.
</t>
        </r>
      </text>
      <mc:AlternateContent>
        <mc:Choice Requires="v2">
          <commentPr autoFill="true" autoScale="false" colHidden="false" locked="false" rowHidden="false" textHAlign="justify" textVAlign="top">
            <anchor moveWithCells="false" sizeWithCells="false">
              <xdr:from>
                <xdr:col>2</xdr:col>
                <xdr:colOff>15</xdr:colOff>
                <xdr:row>5</xdr:row>
                <xdr:rowOff>10</xdr:rowOff>
              </xdr:from>
              <xdr:to>
                <xdr:col>4</xdr:col>
                <xdr:colOff>31</xdr:colOff>
                <xdr:row>9</xdr:row>
                <xdr:rowOff>9</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MAHALAKSHMI JHURRY</author>
    <author>Rishta Jhurry</author>
  </authors>
  <commentList>
    <comment ref="B7" authorId="1">
      <text>
        <r>
          <rPr>
            <sz val="10"/>
            <rFont val="Noto Sans"/>
            <family val="2"/>
          </rPr>
          <t xml:space="preserve">Il debito pubblico trimestrale si riferisce al debito alla fine di ogni trimestre.
</t>
        </r>
      </text>
      <mc:AlternateContent>
        <mc:Choice Requires="v2">
          <commentPr autoFill="true" autoScale="false" colHidden="false" locked="false" rowHidden="false" textHAlign="justify" textVAlign="top">
            <anchor moveWithCells="false" sizeWithCells="false">
              <xdr:from>
                <xdr:col>1</xdr:col>
                <xdr:colOff>27</xdr:colOff>
                <xdr:row>7</xdr:row>
                <xdr:rowOff>16</xdr:rowOff>
              </xdr:from>
              <xdr:to>
                <xdr:col>2</xdr:col>
                <xdr:colOff>-84</xdr:colOff>
                <xdr:row>11</xdr:row>
                <xdr:rowOff>17</xdr:rowOff>
              </xdr:to>
            </anchor>
          </commentPr>
        </mc:Choice>
        <mc:Fallback/>
      </mc:AlternateContent>
    </comment>
    <comment ref="B26" authorId="0">
      <text>
        <r>
          <rPr>
            <sz val="10"/>
            <rFont val="Noto Sans"/>
            <family val="2"/>
          </rPr>
          <t xml:space="preserve">La crisi finanziaria del 2008 è arrivata in Europa nell'autunno del 2008, con il momento più critico che si è verificato tra settembre e dicembre. Possiamo osservare che da questo dato in poi il debito pubblico inizia ad aumentare. 
I governi europei lanciano i primi pacchetti di salvataggio e misure di garanzia per stabilizzare il sistema bancario e sostenere l’economia.</t>
        </r>
      </text>
      <mc:AlternateContent>
        <mc:Choice Requires="v2">
          <commentPr autoFill="true" autoScale="false" colHidden="false" locked="false" rowHidden="false" textHAlign="justify" textVAlign="top">
            <anchor moveWithCells="false" sizeWithCells="false">
              <xdr:from>
                <xdr:col>2</xdr:col>
                <xdr:colOff>8</xdr:colOff>
                <xdr:row>21</xdr:row>
                <xdr:rowOff>0</xdr:rowOff>
              </xdr:from>
              <xdr:to>
                <xdr:col>4</xdr:col>
                <xdr:colOff>77</xdr:colOff>
                <xdr:row>28</xdr:row>
                <xdr:rowOff>4</xdr:rowOff>
              </xdr:to>
            </anchor>
          </commentPr>
        </mc:Choice>
        <mc:Fallback/>
      </mc:AlternateContent>
    </comment>
    <comment ref="B29" authorId="0">
      <text>
        <r>
          <rPr>
            <sz val="10"/>
            <rFont val="Noto Sans"/>
            <family val="2"/>
          </rPr>
          <t xml:space="preserve">Dal 2009 in poi osserviamo un aumento di circa 1milione di euro del debito pubblico rispetto al primo periodo di osservazione considerato (Q1, 2007). 
Ciò deriva dalla larga diffusione della crisi che, oltre che economico, interesserà sempre più aspetti sociali dell'economia dell'Europa.</t>
        </r>
      </text>
      <mc:AlternateContent>
        <mc:Choice Requires="v2">
          <commentPr autoFill="true" autoScale="false" colHidden="false" locked="false" rowHidden="false" textHAlign="justify" textVAlign="top">
            <anchor moveWithCells="false" sizeWithCells="false">
              <xdr:from>
                <xdr:col>2</xdr:col>
                <xdr:colOff>14</xdr:colOff>
                <xdr:row>27</xdr:row>
                <xdr:rowOff>9</xdr:rowOff>
              </xdr:from>
              <xdr:to>
                <xdr:col>4</xdr:col>
                <xdr:colOff>7</xdr:colOff>
                <xdr:row>35</xdr:row>
                <xdr:rowOff>12</xdr:rowOff>
              </xdr:to>
            </anchor>
          </commentPr>
        </mc:Choice>
        <mc:Fallback/>
      </mc:AlternateContent>
    </comment>
    <comment ref="B46" authorId="0">
      <text>
        <r>
          <rPr>
            <sz val="10"/>
            <rFont val="Noto Sans"/>
            <family val="2"/>
          </rPr>
          <t xml:space="preserve">Nel secondo trimestre del 2008 si registra un incremento del 3,88% rispetto al primo trimestre del 2007</t>
        </r>
      </text>
      <mc:AlternateContent>
        <mc:Choice Requires="v2">
          <commentPr autoFill="true" autoScale="false" colHidden="false" locked="false" rowHidden="false" textHAlign="justify" textVAlign="top">
            <anchor moveWithCells="false" sizeWithCells="false">
              <xdr:from>
                <xdr:col>2</xdr:col>
                <xdr:colOff>14</xdr:colOff>
                <xdr:row>44</xdr:row>
                <xdr:rowOff>10</xdr:rowOff>
              </xdr:from>
              <xdr:to>
                <xdr:col>3</xdr:col>
                <xdr:colOff>17</xdr:colOff>
                <xdr:row>49</xdr:row>
                <xdr:rowOff>9</xdr:rowOff>
              </xdr:to>
            </anchor>
          </commentPr>
        </mc:Choice>
        <mc:Fallback/>
      </mc:AlternateContent>
    </comment>
    <comment ref="B48" authorId="0">
      <text>
        <r>
          <rPr>
            <sz val="10"/>
            <rFont val="Noto Sans"/>
            <family val="2"/>
          </rPr>
          <t xml:space="preserve">Nel quarto trimestre del 2008 si registra un incremento del 7,99% rispetto al primo trimestre del 2007 </t>
        </r>
      </text>
      <mc:AlternateContent>
        <mc:Choice Requires="v2">
          <commentPr autoFill="true" autoScale="false" colHidden="false" locked="false" rowHidden="false" textHAlign="justify" textVAlign="top">
            <anchor moveWithCells="false" sizeWithCells="false">
              <xdr:from>
                <xdr:col>2</xdr:col>
                <xdr:colOff>14</xdr:colOff>
                <xdr:row>46</xdr:row>
                <xdr:rowOff>10</xdr:rowOff>
              </xdr:from>
              <xdr:to>
                <xdr:col>3</xdr:col>
                <xdr:colOff>17</xdr:colOff>
                <xdr:row>51</xdr:row>
                <xdr:rowOff>8</xdr:rowOff>
              </xdr:to>
            </anchor>
          </commentPr>
        </mc:Choice>
        <mc:Fallback/>
      </mc:AlternateContent>
    </comment>
    <comment ref="B93" authorId="0">
      <text>
        <r>
          <rPr>
            <sz val="10"/>
            <rFont val="Noto Sans"/>
            <family val="2"/>
          </rPr>
          <t xml:space="preserve">Un indice a base fissa confronta i valori di una variabile in diversi momenti temporali rispetto a un unico periodo di riferimento. 
In questa analisi la base di riferimento è uguale all'andamento del prezzo espresso in milioni di euro del primo trimestre dell'anno 2007. 
</t>
        </r>
      </text>
      <mc:AlternateContent>
        <mc:Choice Requires="v2">
          <commentPr autoFill="true" autoScale="false" colHidden="false" locked="false" rowHidden="false" textHAlign="justify" textVAlign="top">
            <anchor moveWithCells="false" sizeWithCells="false">
              <xdr:from>
                <xdr:col>2</xdr:col>
                <xdr:colOff>14</xdr:colOff>
                <xdr:row>91</xdr:row>
                <xdr:rowOff>10</xdr:rowOff>
              </xdr:from>
              <xdr:to>
                <xdr:col>3</xdr:col>
                <xdr:colOff>107</xdr:colOff>
                <xdr:row>100</xdr:row>
                <xdr:rowOff>8</xdr:rowOff>
              </xdr:to>
            </anchor>
          </commentPr>
        </mc:Choice>
        <mc:Fallback/>
      </mc:AlternateContent>
    </comment>
    <comment ref="B130" authorId="0">
      <text>
        <r>
          <rPr>
            <sz val="10"/>
            <rFont val="Noto Sans"/>
            <family val="2"/>
          </rPr>
          <t xml:space="preserve">Nel primo e secondo trimestre del 2009 la Germania registra un aumento positivo della spesa pubblica dovuto al diffondersi della crisi in Europa</t>
        </r>
      </text>
      <mc:AlternateContent>
        <mc:Choice Requires="v2">
          <commentPr autoFill="true" autoScale="false" colHidden="false" locked="false" rowHidden="false" textHAlign="justify" textVAlign="top">
            <anchor moveWithCells="false" sizeWithCells="false">
              <xdr:from>
                <xdr:col>2</xdr:col>
                <xdr:colOff>14</xdr:colOff>
                <xdr:row>132</xdr:row>
                <xdr:rowOff>12</xdr:rowOff>
              </xdr:from>
              <xdr:to>
                <xdr:col>3</xdr:col>
                <xdr:colOff>60</xdr:colOff>
                <xdr:row>138</xdr:row>
                <xdr:rowOff>12</xdr:rowOff>
              </xdr:to>
            </anchor>
          </commentPr>
        </mc:Choice>
        <mc:Fallback/>
      </mc:AlternateContent>
    </comment>
    <comment ref="B148" authorId="0">
      <text>
        <r>
          <rPr>
            <sz val="10"/>
            <rFont val="Noto Sans"/>
            <family val="2"/>
          </rPr>
          <t xml:space="preserve">Storicamente parlando la Spagna sarà tra i Paesi che richiederanno più prestiti
</t>
        </r>
      </text>
      <mc:AlternateContent>
        <mc:Choice Requires="v2">
          <commentPr autoFill="true" autoScale="false" colHidden="false" locked="false" rowHidden="false" textHAlign="justify" textVAlign="top">
            <anchor moveWithCells="false" sizeWithCells="false">
              <xdr:from>
                <xdr:col>2</xdr:col>
                <xdr:colOff>14</xdr:colOff>
                <xdr:row>151</xdr:row>
                <xdr:rowOff>4</xdr:rowOff>
              </xdr:from>
              <xdr:to>
                <xdr:col>3</xdr:col>
                <xdr:colOff>56</xdr:colOff>
                <xdr:row>160</xdr:row>
                <xdr:rowOff>2</xdr:rowOff>
              </xdr:to>
            </anchor>
          </commentPr>
        </mc:Choice>
        <mc:Fallback/>
      </mc:AlternateContent>
    </comment>
    <comment ref="B159" authorId="0">
      <text>
        <r>
          <rPr>
            <sz val="10"/>
            <rFont val="Noto Sans"/>
            <family val="2"/>
          </rPr>
          <t xml:space="preserve">Dall'analisi risulta che il debito pubblico della Spagna inizierà ad aumentare nettamente a partire dal secondo trimestre del 2009 con prestiti sempre più superiori rispetto al primo trimestre del 2007 
</t>
        </r>
      </text>
      <mc:AlternateContent>
        <mc:Choice Requires="v2">
          <commentPr autoFill="true" autoScale="false" colHidden="false" locked="false" rowHidden="false" textHAlign="justify" textVAlign="top">
            <anchor moveWithCells="false" sizeWithCells="false">
              <xdr:from>
                <xdr:col>2</xdr:col>
                <xdr:colOff>14</xdr:colOff>
                <xdr:row>166</xdr:row>
                <xdr:rowOff>17</xdr:rowOff>
              </xdr:from>
              <xdr:to>
                <xdr:col>3</xdr:col>
                <xdr:colOff>18</xdr:colOff>
                <xdr:row>176</xdr:row>
                <xdr:rowOff>5</xdr:rowOff>
              </xdr:to>
            </anchor>
          </commentPr>
        </mc:Choice>
        <mc:Fallback/>
      </mc:AlternateContent>
    </comment>
    <comment ref="B186" authorId="0">
      <text>
        <r>
          <rPr>
            <sz val="10"/>
            <rFont val="Noto Sans"/>
            <family val="2"/>
          </rPr>
          <t xml:space="preserve">A partire dal 1° trimestre del 2009 il debito pubblico in Francia aumenta sempre più positivamente rispetto alle osservazioni precedenti </t>
        </r>
      </text>
      <mc:AlternateContent>
        <mc:Choice Requires="v2">
          <commentPr autoFill="true" autoScale="false" colHidden="false" locked="false" rowHidden="false" textHAlign="justify" textVAlign="top">
            <anchor moveWithCells="false" sizeWithCells="false">
              <xdr:from>
                <xdr:col>2</xdr:col>
                <xdr:colOff>14</xdr:colOff>
                <xdr:row>192</xdr:row>
                <xdr:rowOff>20</xdr:rowOff>
              </xdr:from>
              <xdr:to>
                <xdr:col>3</xdr:col>
                <xdr:colOff>36</xdr:colOff>
                <xdr:row>199</xdr:row>
                <xdr:rowOff>10</xdr:rowOff>
              </xdr:to>
            </anchor>
          </commentPr>
        </mc:Choice>
        <mc:Fallback/>
      </mc:AlternateContent>
    </comment>
    <comment ref="B206" authorId="0">
      <text>
        <r>
          <rPr>
            <sz val="10"/>
            <rFont val="Noto Sans"/>
            <family val="2"/>
          </rPr>
          <t xml:space="preserve">In Italia l'aumento del debito pubblico risulta essere sempre maggiore nel corso degli anni, soprattutto negli anni che vanno dal 2009 al 2010 
</t>
        </r>
      </text>
      <mc:AlternateContent>
        <mc:Choice Requires="v2">
          <commentPr autoFill="true" autoScale="false" colHidden="false" locked="false" rowHidden="false" textHAlign="justify" textVAlign="top">
            <anchor moveWithCells="false" sizeWithCells="false">
              <xdr:from>
                <xdr:col>2</xdr:col>
                <xdr:colOff>14</xdr:colOff>
                <xdr:row>213</xdr:row>
                <xdr:rowOff>9</xdr:rowOff>
              </xdr:from>
              <xdr:to>
                <xdr:col>3</xdr:col>
                <xdr:colOff>58</xdr:colOff>
                <xdr:row>223</xdr:row>
                <xdr:rowOff>7</xdr:rowOff>
              </xdr:to>
            </anchor>
          </commentPr>
        </mc:Choice>
        <mc:Fallback/>
      </mc:AlternateContent>
    </comment>
    <comment ref="B232" authorId="0">
      <text>
        <r>
          <rPr>
            <sz val="10"/>
            <rFont val="Noto Sans"/>
            <family val="2"/>
          </rPr>
          <t xml:space="preserve">Il Lussemburgo risulta essere tra i Paesi con il più basso debito pubblico nonostante il periodo storico difficile</t>
        </r>
      </text>
      <mc:AlternateContent>
        <mc:Choice Requires="v2">
          <commentPr autoFill="true" autoScale="false" colHidden="false" locked="false" rowHidden="false" textHAlign="justify" textVAlign="top">
            <anchor moveWithCells="false" sizeWithCells="false">
              <xdr:from>
                <xdr:col>2</xdr:col>
                <xdr:colOff>14</xdr:colOff>
                <xdr:row>244</xdr:row>
                <xdr:rowOff>0</xdr:rowOff>
              </xdr:from>
              <xdr:to>
                <xdr:col>3</xdr:col>
                <xdr:colOff>44</xdr:colOff>
                <xdr:row>253</xdr:row>
                <xdr:rowOff>7</xdr:rowOff>
              </xdr:to>
            </anchor>
          </commentPr>
        </mc:Choice>
        <mc:Fallback/>
      </mc:AlternateContent>
    </comment>
    <comment ref="C43" authorId="0">
      <text>
        <r>
          <rPr>
            <sz val="10"/>
            <rFont val="Noto Sans"/>
            <family val="2"/>
          </rPr>
          <t xml:space="preserve">Nel terzo trimestre del 2007 si registra un decremento dello 0,1% rispetto al primo trimestre del 2007
</t>
        </r>
      </text>
      <mc:AlternateContent>
        <mc:Choice Requires="v2">
          <commentPr autoFill="true" autoScale="false" colHidden="false" locked="false" rowHidden="false" textHAlign="justify" textVAlign="top">
            <anchor moveWithCells="false" sizeWithCells="false">
              <xdr:from>
                <xdr:col>3</xdr:col>
                <xdr:colOff>14</xdr:colOff>
                <xdr:row>41</xdr:row>
                <xdr:rowOff>10</xdr:rowOff>
              </xdr:from>
              <xdr:to>
                <xdr:col>4</xdr:col>
                <xdr:colOff>-38</xdr:colOff>
                <xdr:row>49</xdr:row>
                <xdr:rowOff>3</xdr:rowOff>
              </xdr:to>
            </anchor>
          </commentPr>
        </mc:Choice>
        <mc:Fallback/>
      </mc:AlternateContent>
    </comment>
    <comment ref="C51" authorId="0">
      <text>
        <r>
          <rPr>
            <sz val="10"/>
            <rFont val="Noto Sans"/>
            <family val="2"/>
          </rPr>
          <t xml:space="preserve">Nel terzo trimestre del 2009 in Germania si registra una variazione dell'ordine di 10,97% 
</t>
        </r>
      </text>
      <mc:AlternateContent>
        <mc:Choice Requires="v2">
          <commentPr autoFill="true" autoScale="false" colHidden="false" locked="false" rowHidden="false" textHAlign="justify" textVAlign="top">
            <anchor moveWithCells="false" sizeWithCells="false">
              <xdr:from>
                <xdr:col>3</xdr:col>
                <xdr:colOff>14</xdr:colOff>
                <xdr:row>49</xdr:row>
                <xdr:rowOff>10</xdr:rowOff>
              </xdr:from>
              <xdr:to>
                <xdr:col>4</xdr:col>
                <xdr:colOff>-38</xdr:colOff>
                <xdr:row>55</xdr:row>
                <xdr:rowOff>7</xdr:rowOff>
              </xdr:to>
            </anchor>
          </commentPr>
        </mc:Choice>
        <mc:Fallback/>
      </mc:AlternateContent>
    </comment>
    <comment ref="C93" authorId="0">
      <text>
        <r>
          <rPr>
            <sz val="10"/>
            <rFont val="Noto Sans"/>
            <family val="2"/>
          </rPr>
          <t xml:space="preserve">Il trend di prima approssimazione permette di stimare la variazione media di una determinata serie temporale. La tecnica delle medie mobili consiste nel calcolare una serie di medie, con un intervallo temporale specifico.
</t>
        </r>
      </text>
      <mc:AlternateContent>
        <mc:Choice Requires="v2">
          <commentPr autoFill="true" autoScale="false" colHidden="false" locked="false" rowHidden="false" textHAlign="justify" textVAlign="top">
            <anchor moveWithCells="false" sizeWithCells="false">
              <xdr:from>
                <xdr:col>3</xdr:col>
                <xdr:colOff>14</xdr:colOff>
                <xdr:row>91</xdr:row>
                <xdr:rowOff>10</xdr:rowOff>
              </xdr:from>
              <xdr:to>
                <xdr:col>4</xdr:col>
                <xdr:colOff>61</xdr:colOff>
                <xdr:row>99</xdr:row>
                <xdr:rowOff>6</xdr:rowOff>
              </xdr:to>
            </anchor>
          </commentPr>
        </mc:Choice>
        <mc:Fallback/>
      </mc:AlternateContent>
    </comment>
    <comment ref="C94" authorId="0">
      <text>
        <r>
          <rPr>
            <sz val="10"/>
            <rFont val="Noto Sans"/>
            <family val="2"/>
          </rPr>
          <t xml:space="preserve">Questa media mobile prende come periodo di osservazione il primo periodo: primo trimestre del 2007 all'ultimo trimestre dello stesso anno più l'inizio del periodo successivo. 
</t>
        </r>
      </text>
      <mc:AlternateContent>
        <mc:Choice Requires="v2">
          <commentPr autoFill="true" autoScale="false" colHidden="false" locked="false" rowHidden="false" textHAlign="justify" textVAlign="top">
            <anchor moveWithCells="false" sizeWithCells="false">
              <xdr:from>
                <xdr:col>3</xdr:col>
                <xdr:colOff>14</xdr:colOff>
                <xdr:row>92</xdr:row>
                <xdr:rowOff>8</xdr:rowOff>
              </xdr:from>
              <xdr:to>
                <xdr:col>4</xdr:col>
                <xdr:colOff>39</xdr:colOff>
                <xdr:row>100</xdr:row>
                <xdr:rowOff>11</xdr:rowOff>
              </xdr:to>
            </anchor>
          </commentPr>
        </mc:Choice>
        <mc:Fallback/>
      </mc:AlternateContent>
    </comment>
    <comment ref="D2" authorId="0">
      <text>
        <r>
          <rPr>
            <sz val="10"/>
            <rFont val="Noto Sans"/>
            <family val="2"/>
          </rPr>
          <t xml:space="preserve">L’analisi qui presentata si concentra sull’andamento del debito pubblico trimestrale in Europa nel periodo compreso tra il 2007 e il 2010. Per l'analisi abbiamo riportato tra i paesi Germania, Spagna, Francia, Italia e Lussemburgo.
Il periodo in esame è particolarmente rilevante poiché include l’impatto della crisi finanziaria globale del 2008; l’analisi mira a valutare le variazioni del debito pubblico, espresse in milioni di euro, per osservare le dinamiche principali e comprendere i fattori sottostanti all’evoluzione del debito nei diversi trimestri.</t>
        </r>
      </text>
      <mc:AlternateContent>
        <mc:Choice Requires="v2">
          <commentPr autoFill="true" autoScale="false" colHidden="false" locked="false" rowHidden="false" textHAlign="justify" textVAlign="top">
            <anchor moveWithCells="false" sizeWithCells="false">
              <xdr:from>
                <xdr:col>4</xdr:col>
                <xdr:colOff>64</xdr:colOff>
                <xdr:row>1</xdr:row>
                <xdr:rowOff>19</xdr:rowOff>
              </xdr:from>
              <xdr:to>
                <xdr:col>7</xdr:col>
                <xdr:colOff>68</xdr:colOff>
                <xdr:row>13</xdr:row>
                <xdr:rowOff>7</xdr:rowOff>
              </xdr:to>
            </anchor>
          </commentPr>
        </mc:Choice>
        <mc:Fallback/>
      </mc:AlternateContent>
    </comment>
    <comment ref="D19" authorId="0">
      <text>
        <r>
          <rPr>
            <sz val="10"/>
            <rFont val="Noto Sans"/>
            <family val="2"/>
          </rPr>
          <t xml:space="preserve">La Spagna e l'Italia saranno tra i Paesi che richiederanno più prestiti per rialzarsi dalla crisi. 
</t>
        </r>
      </text>
      <mc:AlternateContent>
        <mc:Choice Requires="v2">
          <commentPr autoFill="true" autoScale="false" colHidden="false" locked="false" rowHidden="false" textHAlign="justify" textVAlign="top">
            <anchor moveWithCells="false" sizeWithCells="false">
              <xdr:from>
                <xdr:col>4</xdr:col>
                <xdr:colOff>14</xdr:colOff>
                <xdr:row>17</xdr:row>
                <xdr:rowOff>8</xdr:rowOff>
              </xdr:from>
              <xdr:to>
                <xdr:col>5</xdr:col>
                <xdr:colOff>32</xdr:colOff>
                <xdr:row>22</xdr:row>
                <xdr:rowOff>7</xdr:rowOff>
              </xdr:to>
            </anchor>
          </commentPr>
        </mc:Choice>
        <mc:Fallback/>
      </mc:AlternateContent>
    </comment>
    <comment ref="D43" authorId="0">
      <text>
        <r>
          <rPr>
            <sz val="10"/>
            <rFont val="Noto Sans"/>
            <family val="2"/>
          </rPr>
          <t xml:space="preserve">Nel terzo trimestre del 2007 si registra una variazione di 1,87% inferiore rispetto al valore del periodo base 
</t>
        </r>
      </text>
      <mc:AlternateContent>
        <mc:Choice Requires="v2">
          <commentPr autoFill="true" autoScale="false" colHidden="false" locked="false" rowHidden="false" textHAlign="justify" textVAlign="top">
            <anchor moveWithCells="false" sizeWithCells="false">
              <xdr:from>
                <xdr:col>4</xdr:col>
                <xdr:colOff>14</xdr:colOff>
                <xdr:row>41</xdr:row>
                <xdr:rowOff>10</xdr:rowOff>
              </xdr:from>
              <xdr:to>
                <xdr:col>5</xdr:col>
                <xdr:colOff>32</xdr:colOff>
                <xdr:row>47</xdr:row>
                <xdr:rowOff>7</xdr:rowOff>
              </xdr:to>
            </anchor>
          </commentPr>
        </mc:Choice>
        <mc:Fallback/>
      </mc:AlternateContent>
    </comment>
    <comment ref="D46" authorId="0">
      <text>
        <r>
          <rPr>
            <sz val="10"/>
            <rFont val="Noto Sans"/>
            <family val="2"/>
          </rPr>
          <t xml:space="preserve">Nel secondo trimestre del 2009 si registra una variazione di 2,03% inferiore 
</t>
        </r>
      </text>
      <mc:AlternateContent>
        <mc:Choice Requires="v2">
          <commentPr autoFill="true" autoScale="false" colHidden="false" locked="false" rowHidden="false" textHAlign="justify" textVAlign="top">
            <anchor moveWithCells="false" sizeWithCells="false">
              <xdr:from>
                <xdr:col>4</xdr:col>
                <xdr:colOff>14</xdr:colOff>
                <xdr:row>44</xdr:row>
                <xdr:rowOff>10</xdr:rowOff>
              </xdr:from>
              <xdr:to>
                <xdr:col>5</xdr:col>
                <xdr:colOff>32</xdr:colOff>
                <xdr:row>49</xdr:row>
                <xdr:rowOff>9</xdr:rowOff>
              </xdr:to>
            </anchor>
          </commentPr>
        </mc:Choice>
        <mc:Fallback/>
      </mc:AlternateContent>
    </comment>
    <comment ref="D49" authorId="0">
      <text>
        <r>
          <rPr>
            <sz val="10"/>
            <rFont val="Noto Sans"/>
            <family val="2"/>
          </rPr>
          <t xml:space="preserve">Nel primo trimestre del 2009 si registra una variazione dell'ordine di 18,80% rispetto ai periodi precedenti 
</t>
        </r>
      </text>
      <mc:AlternateContent>
        <mc:Choice Requires="v2">
          <commentPr autoFill="true" autoScale="false" colHidden="false" locked="false" rowHidden="false" textHAlign="justify" textVAlign="top">
            <anchor moveWithCells="false" sizeWithCells="false">
              <xdr:from>
                <xdr:col>4</xdr:col>
                <xdr:colOff>14</xdr:colOff>
                <xdr:row>47</xdr:row>
                <xdr:rowOff>10</xdr:rowOff>
              </xdr:from>
              <xdr:to>
                <xdr:col>5</xdr:col>
                <xdr:colOff>32</xdr:colOff>
                <xdr:row>53</xdr:row>
                <xdr:rowOff>7</xdr:rowOff>
              </xdr:to>
            </anchor>
          </commentPr>
        </mc:Choice>
        <mc:Fallback/>
      </mc:AlternateContent>
    </comment>
    <comment ref="D93" authorId="0">
      <text>
        <r>
          <rPr>
            <sz val="10"/>
            <rFont val="Noto Sans"/>
            <family val="2"/>
          </rPr>
          <t xml:space="preserve">La stima della componente stagionale ed erratica in una serie temporale fa riferimento al processo di separazione e quantificazione delle fluttuazioni regolari e periodiche (stagionalità) e delle variazioni irregolari o casuali (componente erratica).</t>
        </r>
      </text>
      <mc:AlternateContent>
        <mc:Choice Requires="v2">
          <commentPr autoFill="true" autoScale="false" colHidden="false" locked="false" rowHidden="false" textHAlign="justify" textVAlign="top">
            <anchor moveWithCells="false" sizeWithCells="false">
              <xdr:from>
                <xdr:col>4</xdr:col>
                <xdr:colOff>14</xdr:colOff>
                <xdr:row>91</xdr:row>
                <xdr:rowOff>10</xdr:rowOff>
              </xdr:from>
              <xdr:to>
                <xdr:col>5</xdr:col>
                <xdr:colOff>104</xdr:colOff>
                <xdr:row>100</xdr:row>
                <xdr:rowOff>11</xdr:rowOff>
              </xdr:to>
            </anchor>
          </commentPr>
        </mc:Choice>
        <mc:Fallback/>
      </mc:AlternateContent>
    </comment>
    <comment ref="D94" authorId="0">
      <text>
        <r>
          <rPr>
            <sz val="10"/>
            <rFont val="Noto Sans"/>
            <family val="2"/>
          </rPr>
          <t xml:space="preserve">La componente erratica rappresenta le variazioni casuali e imprevedibili per la quale non è prevista un modello regolare né è prevedibile.
E data dalla differenza tra il dato osservato Yt e la variazione media di del periodo temporale preso in considerazione. 
Tale componente calcolato in relazione alle medie va a calcolare quanto è incline il periodo ad avere una ciclicità. 
</t>
        </r>
      </text>
      <mc:AlternateContent>
        <mc:Choice Requires="v2">
          <commentPr autoFill="true" autoScale="false" colHidden="false" locked="false" rowHidden="false" textHAlign="justify" textVAlign="top">
            <anchor moveWithCells="false" sizeWithCells="false">
              <xdr:from>
                <xdr:col>4</xdr:col>
                <xdr:colOff>14</xdr:colOff>
                <xdr:row>92</xdr:row>
                <xdr:rowOff>8</xdr:rowOff>
              </xdr:from>
              <xdr:to>
                <xdr:col>6</xdr:col>
                <xdr:colOff>41</xdr:colOff>
                <xdr:row>102</xdr:row>
                <xdr:rowOff>14</xdr:rowOff>
              </xdr:to>
            </anchor>
          </commentPr>
        </mc:Choice>
        <mc:Fallback/>
      </mc:AlternateContent>
    </comment>
    <comment ref="E46" authorId="0">
      <text>
        <r>
          <rPr>
            <sz val="10"/>
            <rFont val="Noto Sans"/>
            <family val="2"/>
          </rPr>
          <t xml:space="preserve">Nel secondo trimestre del 2008 la Francia ha registrano un aumento di 6,94%  
</t>
        </r>
      </text>
      <mc:AlternateContent>
        <mc:Choice Requires="v2">
          <commentPr autoFill="true" autoScale="false" colHidden="false" locked="false" rowHidden="false" textHAlign="justify" textVAlign="top">
            <anchor moveWithCells="false" sizeWithCells="false">
              <xdr:from>
                <xdr:col>5</xdr:col>
                <xdr:colOff>43</xdr:colOff>
                <xdr:row>44</xdr:row>
                <xdr:rowOff>10</xdr:rowOff>
              </xdr:from>
              <xdr:to>
                <xdr:col>6</xdr:col>
                <xdr:colOff>68</xdr:colOff>
                <xdr:row>50</xdr:row>
                <xdr:rowOff>7</xdr:rowOff>
              </xdr:to>
            </anchor>
          </commentPr>
        </mc:Choice>
        <mc:Fallback/>
      </mc:AlternateContent>
    </comment>
    <comment ref="E52" authorId="0">
      <text>
        <r>
          <rPr>
            <sz val="10"/>
            <rFont val="Noto Sans"/>
            <family val="2"/>
          </rPr>
          <t xml:space="preserve">Nel quarto trimestre del 2009 si è registrato una variazione del 30,74% 
</t>
        </r>
      </text>
      <mc:AlternateContent>
        <mc:Choice Requires="v2">
          <commentPr autoFill="true" autoScale="false" colHidden="false" locked="false" rowHidden="false" textHAlign="justify" textVAlign="top">
            <anchor moveWithCells="false" sizeWithCells="false">
              <xdr:from>
                <xdr:col>5</xdr:col>
                <xdr:colOff>43</xdr:colOff>
                <xdr:row>50</xdr:row>
                <xdr:rowOff>10</xdr:rowOff>
              </xdr:from>
              <xdr:to>
                <xdr:col>6</xdr:col>
                <xdr:colOff>68</xdr:colOff>
                <xdr:row>54</xdr:row>
                <xdr:rowOff>10</xdr:rowOff>
              </xdr:to>
            </anchor>
          </commentPr>
        </mc:Choice>
        <mc:Fallback/>
      </mc:AlternateContent>
    </comment>
    <comment ref="E93" authorId="0">
      <text>
        <r>
          <rPr>
            <sz val="10"/>
            <rFont val="Noto Sans"/>
            <family val="2"/>
          </rPr>
          <t xml:space="preserve">La componente stagionale rappresenta le fluttuazioni regolari e ripetitive in un determinato periodo di osservazione dovuti a componenti caratterizzanti.
</t>
        </r>
      </text>
      <mc:AlternateContent>
        <mc:Choice Requires="v2">
          <commentPr autoFill="true" autoScale="false" colHidden="false" locked="false" rowHidden="false" textHAlign="justify" textVAlign="top">
            <anchor moveWithCells="false" sizeWithCells="false">
              <xdr:from>
                <xdr:col>5</xdr:col>
                <xdr:colOff>43</xdr:colOff>
                <xdr:row>91</xdr:row>
                <xdr:rowOff>10</xdr:rowOff>
              </xdr:from>
              <xdr:to>
                <xdr:col>6</xdr:col>
                <xdr:colOff>68</xdr:colOff>
                <xdr:row>99</xdr:row>
                <xdr:rowOff>19</xdr:rowOff>
              </xdr:to>
            </anchor>
          </commentPr>
        </mc:Choice>
        <mc:Fallback/>
      </mc:AlternateContent>
    </comment>
    <comment ref="E94" authorId="0">
      <text>
        <r>
          <rPr>
            <sz val="10"/>
            <rFont val="Noto Sans"/>
            <family val="2"/>
          </rPr>
          <t xml:space="preserve">I dati riportati sono stati calcolati sulla base dei primi dati e mostrano la ciclicità con la quale il debito pubblico tende ad essere inferiore alla media annuale al netto del trend e delle variazioni casuali</t>
        </r>
      </text>
      <mc:AlternateContent>
        <mc:Choice Requires="v2">
          <commentPr autoFill="true" autoScale="false" colHidden="false" locked="false" rowHidden="false" textHAlign="justify" textVAlign="top">
            <anchor moveWithCells="false" sizeWithCells="false">
              <xdr:from>
                <xdr:col>5</xdr:col>
                <xdr:colOff>12</xdr:colOff>
                <xdr:row>92</xdr:row>
                <xdr:rowOff>12</xdr:rowOff>
              </xdr:from>
              <xdr:to>
                <xdr:col>6</xdr:col>
                <xdr:colOff>102</xdr:colOff>
                <xdr:row>101</xdr:row>
                <xdr:rowOff>6</xdr:rowOff>
              </xdr:to>
            </anchor>
          </commentPr>
        </mc:Choice>
        <mc:Fallback/>
      </mc:AlternateContent>
    </comment>
    <comment ref="E122" authorId="0">
      <text>
        <r>
          <rPr>
            <sz val="10"/>
            <rFont val="Noto Sans"/>
            <family val="2"/>
          </rPr>
          <t xml:space="preserve">Il debito pubblico ha registrato delle variazioni periodiche cicliche che si sono presentate per lo più entro gli stessi termini in maniera negativa
</t>
        </r>
      </text>
      <mc:AlternateContent>
        <mc:Choice Requires="v2">
          <commentPr autoFill="true" autoScale="false" colHidden="false" locked="false" rowHidden="false" textHAlign="justify" textVAlign="top">
            <anchor moveWithCells="false" sizeWithCells="false">
              <xdr:from>
                <xdr:col>5</xdr:col>
                <xdr:colOff>43</xdr:colOff>
                <xdr:row>120</xdr:row>
                <xdr:rowOff>14</xdr:rowOff>
              </xdr:from>
              <xdr:to>
                <xdr:col>6</xdr:col>
                <xdr:colOff>117</xdr:colOff>
                <xdr:row>131</xdr:row>
                <xdr:rowOff>0</xdr:rowOff>
              </xdr:to>
            </anchor>
          </commentPr>
        </mc:Choice>
        <mc:Fallback/>
      </mc:AlternateContent>
    </comment>
    <comment ref="E150" authorId="0">
      <text>
        <r>
          <rPr>
            <sz val="10"/>
            <rFont val="Noto Sans"/>
            <family val="2"/>
          </rPr>
          <t xml:space="preserve">Il debito pubblico ha registrato delle variazioni periodiche cicliche che si sono presentate per lo più entro gli stessi termini in maniera negativa
</t>
        </r>
      </text>
      <mc:AlternateContent>
        <mc:Choice Requires="v2">
          <commentPr autoFill="true" autoScale="false" colHidden="false" locked="false" rowHidden="false" textHAlign="justify" textVAlign="top">
            <anchor moveWithCells="false" sizeWithCells="false">
              <xdr:from>
                <xdr:col>5</xdr:col>
                <xdr:colOff>43</xdr:colOff>
                <xdr:row>153</xdr:row>
                <xdr:rowOff>2</xdr:rowOff>
              </xdr:from>
              <xdr:to>
                <xdr:col>6</xdr:col>
                <xdr:colOff>110</xdr:colOff>
                <xdr:row>163</xdr:row>
                <xdr:rowOff>9</xdr:rowOff>
              </xdr:to>
            </anchor>
          </commentPr>
        </mc:Choice>
        <mc:Fallback/>
      </mc:AlternateContent>
    </comment>
    <comment ref="E178" authorId="0">
      <text>
        <r>
          <rPr>
            <sz val="10"/>
            <rFont val="Noto Sans"/>
            <family val="2"/>
          </rPr>
          <t xml:space="preserve">Il debito pubblico ha registrato delle variazioni periodiche cicliche che si sono presentate per lo più entro gli stessi termini in maniera negativa
</t>
        </r>
      </text>
      <mc:AlternateContent>
        <mc:Choice Requires="v2">
          <commentPr autoFill="true" autoScale="false" colHidden="false" locked="false" rowHidden="false" textHAlign="justify" textVAlign="top">
            <anchor moveWithCells="false" sizeWithCells="false">
              <xdr:from>
                <xdr:col>5</xdr:col>
                <xdr:colOff>43</xdr:colOff>
                <xdr:row>184</xdr:row>
                <xdr:rowOff>20</xdr:rowOff>
              </xdr:from>
              <xdr:to>
                <xdr:col>6</xdr:col>
                <xdr:colOff>110</xdr:colOff>
                <xdr:row>190</xdr:row>
                <xdr:rowOff>15</xdr:rowOff>
              </xdr:to>
            </anchor>
          </commentPr>
        </mc:Choice>
        <mc:Fallback/>
      </mc:AlternateContent>
    </comment>
    <comment ref="E206" authorId="0">
      <text>
        <r>
          <rPr>
            <sz val="10"/>
            <rFont val="Noto Sans"/>
            <family val="2"/>
          </rPr>
          <t xml:space="preserve">Il debito pubblico ha registrato delle variazioni periodiche cicliche che si sono presentate per lo più entro gli stessi termini in maniera negativa
</t>
        </r>
      </text>
      <mc:AlternateContent>
        <mc:Choice Requires="v2">
          <commentPr autoFill="true" autoScale="false" colHidden="false" locked="false" rowHidden="false" textHAlign="justify" textVAlign="top">
            <anchor moveWithCells="false" sizeWithCells="false">
              <xdr:from>
                <xdr:col>5</xdr:col>
                <xdr:colOff>43</xdr:colOff>
                <xdr:row>213</xdr:row>
                <xdr:rowOff>9</xdr:rowOff>
              </xdr:from>
              <xdr:to>
                <xdr:col>6</xdr:col>
                <xdr:colOff>104</xdr:colOff>
                <xdr:row>223</xdr:row>
                <xdr:rowOff>8</xdr:rowOff>
              </xdr:to>
            </anchor>
          </commentPr>
        </mc:Choice>
        <mc:Fallback/>
      </mc:AlternateContent>
    </comment>
    <comment ref="E234" authorId="0">
      <text>
        <r>
          <rPr>
            <sz val="10"/>
            <rFont val="Noto Sans"/>
            <family val="2"/>
          </rPr>
          <t xml:space="preserve">Il debito pubblico ha registrato delle variazioni periodiche cicliche che si sono presentate per lo più entro gli stessi termini in maniera negativa</t>
        </r>
      </text>
      <mc:AlternateContent>
        <mc:Choice Requires="v2">
          <commentPr autoFill="true" autoScale="false" colHidden="false" locked="false" rowHidden="false" textHAlign="justify" textVAlign="top">
            <anchor moveWithCells="false" sizeWithCells="false">
              <xdr:from>
                <xdr:col>5</xdr:col>
                <xdr:colOff>43</xdr:colOff>
                <xdr:row>245</xdr:row>
                <xdr:rowOff>18</xdr:rowOff>
              </xdr:from>
              <xdr:to>
                <xdr:col>6</xdr:col>
                <xdr:colOff>114</xdr:colOff>
                <xdr:row>256</xdr:row>
                <xdr:rowOff>11</xdr:rowOff>
              </xdr:to>
            </anchor>
          </commentPr>
        </mc:Choice>
        <mc:Fallback/>
      </mc:AlternateContent>
    </comment>
    <comment ref="F44" authorId="0">
      <text>
        <r>
          <rPr>
            <sz val="10"/>
            <rFont val="Noto Sans"/>
            <family val="2"/>
          </rPr>
          <t xml:space="preserve">Nell'ultimo trimestre del 2007 si registra un variazione percentuale di 0,54 % inferiore  
</t>
        </r>
      </text>
      <mc:AlternateContent>
        <mc:Choice Requires="v2">
          <commentPr autoFill="true" autoScale="false" colHidden="false" locked="false" rowHidden="false" textHAlign="justify" textVAlign="top">
            <anchor moveWithCells="false" sizeWithCells="false">
              <xdr:from>
                <xdr:col>6</xdr:col>
                <xdr:colOff>44</xdr:colOff>
                <xdr:row>42</xdr:row>
                <xdr:rowOff>10</xdr:rowOff>
              </xdr:from>
              <xdr:to>
                <xdr:col>7</xdr:col>
                <xdr:colOff>62</xdr:colOff>
                <xdr:row>47</xdr:row>
                <xdr:rowOff>9</xdr:rowOff>
              </xdr:to>
            </anchor>
          </commentPr>
        </mc:Choice>
        <mc:Fallback/>
      </mc:AlternateContent>
    </comment>
    <comment ref="F49" authorId="0">
      <text>
        <r>
          <rPr>
            <sz val="10"/>
            <rFont val="Noto Sans"/>
            <family val="2"/>
          </rPr>
          <t xml:space="preserve">Nel primo trimestre del 2009 si è registrata una variazione di 7,74% </t>
        </r>
      </text>
      <mc:AlternateContent>
        <mc:Choice Requires="v2">
          <commentPr autoFill="true" autoScale="false" colHidden="false" locked="false" rowHidden="false" textHAlign="justify" textVAlign="top">
            <anchor moveWithCells="false" sizeWithCells="false">
              <xdr:from>
                <xdr:col>6</xdr:col>
                <xdr:colOff>44</xdr:colOff>
                <xdr:row>47</xdr:row>
                <xdr:rowOff>10</xdr:rowOff>
              </xdr:from>
              <xdr:to>
                <xdr:col>7</xdr:col>
                <xdr:colOff>74</xdr:colOff>
                <xdr:row>51</xdr:row>
                <xdr:rowOff>9</xdr:rowOff>
              </xdr:to>
            </anchor>
          </commentPr>
        </mc:Choice>
        <mc:Fallback/>
      </mc:AlternateContent>
    </comment>
    <comment ref="F93" authorId="0">
      <text>
        <r>
          <rPr>
            <sz val="10"/>
            <rFont val="Noto Sans"/>
            <family val="2"/>
          </rPr>
          <t xml:space="preserve">la destagionalizzazione viene utilizzata  per rimuovere l'effetto delle fluttuazioni stagionali dai dati temporali, rendendo più chiara l'osservazione delle tendenze sottostanti e dei cicli economici.
Esso ci permette di studiare il trend, la direzione generale del dato nel tempo (es. crescita o declino) e le fluttuazioni che dipendono da fattori (es. recessioni o espansioni). 
</t>
        </r>
      </text>
      <mc:AlternateContent>
        <mc:Choice Requires="v2">
          <commentPr autoFill="true" autoScale="false" colHidden="false" locked="false" rowHidden="false" textHAlign="justify" textVAlign="top">
            <anchor moveWithCells="false" sizeWithCells="false">
              <xdr:from>
                <xdr:col>6</xdr:col>
                <xdr:colOff>44</xdr:colOff>
                <xdr:row>91</xdr:row>
                <xdr:rowOff>10</xdr:rowOff>
              </xdr:from>
              <xdr:to>
                <xdr:col>8</xdr:col>
                <xdr:colOff>74</xdr:colOff>
                <xdr:row>103</xdr:row>
                <xdr:rowOff>12</xdr:rowOff>
              </xdr:to>
            </anchor>
          </commentPr>
        </mc:Choice>
        <mc:Fallback/>
      </mc:AlternateContent>
    </comment>
    <comment ref="F97" authorId="0">
      <text>
        <r>
          <rPr>
            <sz val="10"/>
            <rFont val="Noto Sans"/>
            <family val="2"/>
          </rPr>
          <t xml:space="preserve">Possiamo osservare un leggero declino del debito pubblico dovuto a diversi fattori che hanno interessato i mesi di ottobre, novembre e dicembre del 2007. 
</t>
        </r>
      </text>
      <mc:AlternateContent>
        <mc:Choice Requires="v2">
          <commentPr autoFill="true" autoScale="false" colHidden="false" locked="false" rowHidden="false" textHAlign="justify" textVAlign="top">
            <anchor moveWithCells="false" sizeWithCells="false">
              <xdr:from>
                <xdr:col>6</xdr:col>
                <xdr:colOff>44</xdr:colOff>
                <xdr:row>95</xdr:row>
                <xdr:rowOff>12</xdr:rowOff>
              </xdr:from>
              <xdr:to>
                <xdr:col>8</xdr:col>
                <xdr:colOff>5</xdr:colOff>
                <xdr:row>102</xdr:row>
                <xdr:rowOff>18</xdr:rowOff>
              </xdr:to>
            </anchor>
          </commentPr>
        </mc:Choice>
        <mc:Fallback/>
      </mc:AlternateContent>
    </comment>
    <comment ref="F102" authorId="0">
      <text>
        <r>
          <rPr>
            <sz val="10"/>
            <rFont val="Noto Sans"/>
            <family val="2"/>
          </rPr>
          <t xml:space="preserve">Nel primo trimestre dell'anno 2009 osserviamo un aumento della spesa pubblica superiori alle osservazioni precedenti; in quel momento storico la crisi stava iniziando a diffondersi sempre di più nell'Europa. 
</t>
        </r>
      </text>
      <mc:AlternateContent>
        <mc:Choice Requires="v2">
          <commentPr autoFill="true" autoScale="false" colHidden="false" locked="false" rowHidden="false" textHAlign="justify" textVAlign="top">
            <anchor moveWithCells="false" sizeWithCells="false">
              <xdr:from>
                <xdr:col>6</xdr:col>
                <xdr:colOff>44</xdr:colOff>
                <xdr:row>100</xdr:row>
                <xdr:rowOff>10</xdr:rowOff>
              </xdr:from>
              <xdr:to>
                <xdr:col>8</xdr:col>
                <xdr:colOff>12</xdr:colOff>
                <xdr:row>108</xdr:row>
                <xdr:rowOff>12</xdr:rowOff>
              </xdr:to>
            </anchor>
          </commentPr>
        </mc:Choice>
        <mc:Fallback/>
      </mc:AlternateContent>
    </comment>
    <comment ref="F125" authorId="0">
      <text>
        <r>
          <rPr>
            <sz val="10"/>
            <rFont val="Noto Sans"/>
            <family val="2"/>
          </rPr>
          <t xml:space="preserve">Nell'ultimo trimestre del 2007 osserviamo una diminuzione del debito pubblico </t>
        </r>
      </text>
      <mc:AlternateContent>
        <mc:Choice Requires="v2">
          <commentPr autoFill="true" autoScale="false" colHidden="false" locked="false" rowHidden="false" textHAlign="justify" textVAlign="top">
            <anchor moveWithCells="false" sizeWithCells="false">
              <xdr:from>
                <xdr:col>6</xdr:col>
                <xdr:colOff>44</xdr:colOff>
                <xdr:row>127</xdr:row>
                <xdr:rowOff>17</xdr:rowOff>
              </xdr:from>
              <xdr:to>
                <xdr:col>7</xdr:col>
                <xdr:colOff>74</xdr:colOff>
                <xdr:row>131</xdr:row>
                <xdr:rowOff>15</xdr:rowOff>
              </xdr:to>
            </anchor>
          </commentPr>
        </mc:Choice>
        <mc:Fallback/>
      </mc:AlternateContent>
    </comment>
    <comment ref="F130" authorId="0">
      <text>
        <r>
          <rPr>
            <sz val="10"/>
            <rFont val="Noto Sans"/>
            <family val="2"/>
          </rPr>
          <t xml:space="preserve">Nel primo trimestre del 2009 il debito pubblico risulta essere  superiore; così per i primi trimestri relativi agli anni di riferimento di ogni arco temporale analizzato</t>
        </r>
      </text>
      <mc:AlternateContent>
        <mc:Choice Requires="v2">
          <commentPr autoFill="true" autoScale="false" colHidden="false" locked="false" rowHidden="false" textHAlign="justify" textVAlign="top">
            <anchor moveWithCells="false" sizeWithCells="false">
              <xdr:from>
                <xdr:col>6</xdr:col>
                <xdr:colOff>30</xdr:colOff>
                <xdr:row>132</xdr:row>
                <xdr:rowOff>19</xdr:rowOff>
              </xdr:from>
              <xdr:to>
                <xdr:col>7</xdr:col>
                <xdr:colOff>118</xdr:colOff>
                <xdr:row>139</xdr:row>
                <xdr:rowOff>15</xdr:rowOff>
              </xdr:to>
            </anchor>
          </commentPr>
        </mc:Choice>
        <mc:Fallback/>
      </mc:AlternateContent>
    </comment>
    <comment ref="F161" authorId="0">
      <text>
        <r>
          <rPr>
            <sz val="10"/>
            <rFont val="Noto Sans"/>
            <family val="2"/>
          </rPr>
          <t xml:space="preserve">Nell'ultimo trimestre del 2009 registriamo un aumento del debito pubblico rispetto alle osservazioni precedenti</t>
        </r>
      </text>
      <mc:AlternateContent>
        <mc:Choice Requires="v2">
          <commentPr autoFill="true" autoScale="false" colHidden="false" locked="false" rowHidden="false" textHAlign="justify" textVAlign="top">
            <anchor moveWithCells="false" sizeWithCells="false">
              <xdr:from>
                <xdr:col>6</xdr:col>
                <xdr:colOff>44</xdr:colOff>
                <xdr:row>168</xdr:row>
                <xdr:rowOff>9</xdr:rowOff>
              </xdr:from>
              <xdr:to>
                <xdr:col>7</xdr:col>
                <xdr:colOff>99</xdr:colOff>
                <xdr:row>174</xdr:row>
                <xdr:rowOff>2</xdr:rowOff>
              </xdr:to>
            </anchor>
          </commentPr>
        </mc:Choice>
        <mc:Fallback/>
      </mc:AlternateContent>
    </comment>
    <comment ref="F185" authorId="0">
      <text>
        <r>
          <rPr>
            <sz val="10"/>
            <rFont val="Noto Sans"/>
            <family val="2"/>
          </rPr>
          <t xml:space="preserve">Destagionalizzando i dati osserviamo che il debito pubblico tende ad aumentare negli anni 2009 e 2010
</t>
        </r>
      </text>
      <mc:AlternateContent>
        <mc:Choice Requires="v2">
          <commentPr autoFill="true" autoScale="false" colHidden="false" locked="false" rowHidden="false" textHAlign="justify" textVAlign="top">
            <anchor moveWithCells="false" sizeWithCells="false">
              <xdr:from>
                <xdr:col>6</xdr:col>
                <xdr:colOff>44</xdr:colOff>
                <xdr:row>192</xdr:row>
                <xdr:rowOff>4</xdr:rowOff>
              </xdr:from>
              <xdr:to>
                <xdr:col>7</xdr:col>
                <xdr:colOff>83</xdr:colOff>
                <xdr:row>197</xdr:row>
                <xdr:rowOff>19</xdr:rowOff>
              </xdr:to>
            </anchor>
          </commentPr>
        </mc:Choice>
        <mc:Fallback/>
      </mc:AlternateContent>
    </comment>
    <comment ref="F216" authorId="0">
      <text>
        <r>
          <rPr>
            <sz val="10"/>
            <rFont val="Noto Sans"/>
            <family val="2"/>
          </rPr>
          <t xml:space="preserve">Nel terzo trimestre del 2009 osserviamo che il debito pubblico risulta maggiore rispetto al periodo iniziale preso in considerazione con aumenti significativi soprattutto nel 2010</t>
        </r>
      </text>
      <mc:AlternateContent>
        <mc:Choice Requires="v2">
          <commentPr autoFill="true" autoScale="false" colHidden="false" locked="false" rowHidden="false" textHAlign="justify" textVAlign="top">
            <anchor moveWithCells="false" sizeWithCells="false">
              <xdr:from>
                <xdr:col>6</xdr:col>
                <xdr:colOff>44</xdr:colOff>
                <xdr:row>227</xdr:row>
                <xdr:rowOff>16</xdr:rowOff>
              </xdr:from>
              <xdr:to>
                <xdr:col>8</xdr:col>
                <xdr:colOff>5</xdr:colOff>
                <xdr:row>234</xdr:row>
                <xdr:rowOff>11</xdr:rowOff>
              </xdr:to>
            </anchor>
          </commentPr>
        </mc:Choice>
        <mc:Fallback/>
      </mc:AlternateContent>
    </comment>
    <comment ref="F248" authorId="0">
      <text>
        <r>
          <rPr>
            <sz val="10"/>
            <rFont val="Noto Sans"/>
            <family val="2"/>
          </rPr>
          <t xml:space="preserve">Nel terzo trimestre del 2010 osserviamo un aumento del debito pubblico rispetto ai periodi di osservazione precedente</t>
        </r>
      </text>
      <mc:AlternateContent>
        <mc:Choice Requires="v2">
          <commentPr autoFill="true" autoScale="false" colHidden="false" locked="false" rowHidden="false" textHAlign="justify" textVAlign="top">
            <anchor moveWithCells="false" sizeWithCells="false">
              <xdr:from>
                <xdr:col>6</xdr:col>
                <xdr:colOff>44</xdr:colOff>
                <xdr:row>264</xdr:row>
                <xdr:rowOff>11</xdr:rowOff>
              </xdr:from>
              <xdr:to>
                <xdr:col>7</xdr:col>
                <xdr:colOff>109</xdr:colOff>
                <xdr:row>271</xdr:row>
                <xdr:rowOff>12</xdr:rowOff>
              </xdr:to>
            </anchor>
          </commentPr>
        </mc:Choice>
        <mc:Fallback/>
      </mc:AlternateContent>
    </comment>
    <comment ref="G47" authorId="1">
      <text>
        <r>
          <rPr>
            <sz val="10"/>
            <rFont val="Noto Sans"/>
            <family val="2"/>
          </rPr>
          <t xml:space="preserve">Dal terzo trimestre del 2008 si registra una variaizone positiva del debito pubblico dell'ordine di 17,09%</t>
        </r>
      </text>
      <mc:AlternateContent>
        <mc:Choice Requires="v2">
          <commentPr autoFill="true" autoScale="false" colHidden="false" locked="false" rowHidden="false" textHAlign="justify" textVAlign="top">
            <anchor moveWithCells="false" sizeWithCells="false">
              <xdr:from>
                <xdr:col>7</xdr:col>
                <xdr:colOff>30</xdr:colOff>
                <xdr:row>45</xdr:row>
                <xdr:rowOff>11</xdr:rowOff>
              </xdr:from>
              <xdr:to>
                <xdr:col>8</xdr:col>
                <xdr:colOff>47</xdr:colOff>
                <xdr:row>50</xdr:row>
                <xdr:rowOff>9</xdr:rowOff>
              </xdr:to>
            </anchor>
          </commentPr>
        </mc:Choice>
        <mc:Fallback/>
      </mc:AlternateContent>
    </comment>
    <comment ref="G93" authorId="0">
      <text>
        <r>
          <rPr>
            <sz val="10"/>
            <rFont val="Noto Sans"/>
            <family val="2"/>
          </rPr>
          <t xml:space="preserve">La media centrata a 3 termini calcola la media dei valori di un dato punto temporale considerando anche il valore precedente e quello successivo
</t>
        </r>
      </text>
      <mc:AlternateContent>
        <mc:Choice Requires="v2">
          <commentPr autoFill="true" autoScale="false" colHidden="false" locked="false" rowHidden="false" textHAlign="justify" textVAlign="top">
            <anchor moveWithCells="false" sizeWithCells="false">
              <xdr:from>
                <xdr:col>7</xdr:col>
                <xdr:colOff>44</xdr:colOff>
                <xdr:row>91</xdr:row>
                <xdr:rowOff>10</xdr:rowOff>
              </xdr:from>
              <xdr:to>
                <xdr:col>8</xdr:col>
                <xdr:colOff>100</xdr:colOff>
                <xdr:row>99</xdr:row>
                <xdr:rowOff>14</xdr:rowOff>
              </xdr:to>
            </anchor>
          </commentPr>
        </mc:Choice>
        <mc:Fallback/>
      </mc:AlternateContent>
    </comment>
    <comment ref="G103" authorId="0">
      <text>
        <r>
          <rPr>
            <sz val="10"/>
            <rFont val="Noto Sans"/>
            <family val="2"/>
          </rPr>
          <t xml:space="preserve">Nel secondo trimestre del 2009 osserviamo una variazione positiva che nel complesso fa riferimento ad una serie di variabili che hanno influenzato in maniera positiva il debito pubblico, comportando cioè un aumento delle spese pubbliche. 
</t>
        </r>
      </text>
      <mc:AlternateContent>
        <mc:Choice Requires="v2">
          <commentPr autoFill="true" autoScale="false" colHidden="false" locked="false" rowHidden="false" textHAlign="justify" textVAlign="top">
            <anchor moveWithCells="false" sizeWithCells="false">
              <xdr:from>
                <xdr:col>7</xdr:col>
                <xdr:colOff>44</xdr:colOff>
                <xdr:row>102</xdr:row>
                <xdr:rowOff>1</xdr:rowOff>
              </xdr:from>
              <xdr:to>
                <xdr:col>8</xdr:col>
                <xdr:colOff>164</xdr:colOff>
                <xdr:row>110</xdr:row>
                <xdr:rowOff>13</xdr:rowOff>
              </xdr:to>
            </anchor>
          </commentPr>
        </mc:Choice>
        <mc:Fallback/>
      </mc:AlternateContent>
    </comment>
    <comment ref="G135" authorId="0">
      <text>
        <r>
          <rPr>
            <sz val="10"/>
            <rFont val="Noto Sans"/>
            <family val="2"/>
          </rPr>
          <t xml:space="preserve">Nel secondo trimestre del 2010 osserviamo una variazione mediamente positiva del debito pubblico </t>
        </r>
      </text>
      <mc:AlternateContent>
        <mc:Choice Requires="v2">
          <commentPr autoFill="true" autoScale="false" colHidden="false" locked="false" rowHidden="false" textHAlign="justify" textVAlign="top">
            <anchor moveWithCells="false" sizeWithCells="false">
              <xdr:from>
                <xdr:col>7</xdr:col>
                <xdr:colOff>44</xdr:colOff>
                <xdr:row>138</xdr:row>
                <xdr:rowOff>1</xdr:rowOff>
              </xdr:from>
              <xdr:to>
                <xdr:col>8</xdr:col>
                <xdr:colOff>74</xdr:colOff>
                <xdr:row>142</xdr:row>
                <xdr:rowOff>18</xdr:rowOff>
              </xdr:to>
            </anchor>
          </commentPr>
        </mc:Choice>
        <mc:Fallback/>
      </mc:AlternateContent>
    </comment>
    <comment ref="G164" authorId="0">
      <text>
        <r>
          <rPr>
            <sz val="10"/>
            <rFont val="Noto Sans"/>
            <family val="2"/>
          </rPr>
          <t xml:space="preserve">Nel 3° trimestre del 2010 osserviamo una variazione positiva del debito pubblico in relazione al periodo precedente 
</t>
        </r>
      </text>
      <mc:AlternateContent>
        <mc:Choice Requires="v2">
          <commentPr autoFill="true" autoScale="false" colHidden="false" locked="false" rowHidden="false" textHAlign="justify" textVAlign="top">
            <anchor moveWithCells="false" sizeWithCells="false">
              <xdr:from>
                <xdr:col>7</xdr:col>
                <xdr:colOff>44</xdr:colOff>
                <xdr:row>171</xdr:row>
                <xdr:rowOff>15</xdr:rowOff>
              </xdr:from>
              <xdr:to>
                <xdr:col>8</xdr:col>
                <xdr:colOff>106</xdr:colOff>
                <xdr:row>177</xdr:row>
                <xdr:rowOff>21</xdr:rowOff>
              </xdr:to>
            </anchor>
          </commentPr>
        </mc:Choice>
        <mc:Fallback/>
      </mc:AlternateContent>
    </comment>
    <comment ref="H93" authorId="0">
      <text>
        <r>
          <rPr>
            <sz val="10"/>
            <rFont val="Noto Sans"/>
            <family val="2"/>
          </rPr>
          <t xml:space="preserve">Somma della stagionalità e del trend-ciclo essa indica la serie stimata e permette di osservare i dati senza considerare il rumore, inteso come variazioni casuali o non prevedibili. 							
</t>
        </r>
      </text>
      <mc:AlternateContent>
        <mc:Choice Requires="v2">
          <commentPr autoFill="true" autoScale="false" colHidden="false" locked="false" rowHidden="false" textHAlign="justify" textVAlign="top">
            <anchor moveWithCells="false" sizeWithCells="false">
              <xdr:from>
                <xdr:col>8</xdr:col>
                <xdr:colOff>44</xdr:colOff>
                <xdr:row>91</xdr:row>
                <xdr:rowOff>10</xdr:rowOff>
              </xdr:from>
              <xdr:to>
                <xdr:col>9</xdr:col>
                <xdr:colOff>1</xdr:colOff>
                <xdr:row>99</xdr:row>
                <xdr:rowOff>19</xdr:rowOff>
              </xdr:to>
            </anchor>
          </commentPr>
        </mc:Choice>
        <mc:Fallback/>
      </mc:AlternateContent>
    </comment>
    <comment ref="I21" authorId="0">
      <text>
        <r>
          <rPr>
            <sz val="10"/>
            <rFont val="Noto Sans"/>
            <family val="2"/>
          </rPr>
          <t xml:space="preserve">Molti Paesi hanno adottato piani di salvataggio per le istituzioni finanziarie in difficoltà e sono stati creati strumenti come il Fondo europeo di stabilità finanziaria e il Meccanismo europeo di salvataggio per sostenere i Paesi in difficoltà con prestiti agevolati, con sede entrambi a Lussemburgo. 
Dal momento in cui uno Stato membro della zona euro ha presentato richiesta di aiuto finanziario trascorreranno 3-4 settimane per sviluppare un programma di sostegno, una volta che l'eurogruppo raccoglie i fondi necessari richiederà ulteriore tempo per raccogliere i fondi ed erogare il prestito. 
Tra i dati relativi ai Paesi scelti per l'analisi osserviamo come in termini generali gli hanno del 2009 e 2010 registrano un aumento del debito pubblico </t>
        </r>
      </text>
      <mc:AlternateContent>
        <mc:Choice Requires="v2">
          <commentPr autoFill="true" autoScale="false" colHidden="false" locked="false" rowHidden="false" textHAlign="justify" textVAlign="top">
            <anchor moveWithCells="false" sizeWithCells="false">
              <xdr:from>
                <xdr:col>8</xdr:col>
                <xdr:colOff>167</xdr:colOff>
                <xdr:row>19</xdr:row>
                <xdr:rowOff>9</xdr:rowOff>
              </xdr:from>
              <xdr:to>
                <xdr:col>9</xdr:col>
                <xdr:colOff>150</xdr:colOff>
                <xdr:row>43</xdr:row>
                <xdr:rowOff>5</xdr:rowOff>
              </xdr:to>
            </anchor>
          </commentPr>
        </mc:Choice>
        <mc:Fallback/>
      </mc:AlternateContent>
    </comment>
    <comment ref="I93" authorId="0">
      <text>
        <r>
          <rPr>
            <sz val="10"/>
            <rFont val="Noto Sans"/>
            <family val="2"/>
          </rPr>
          <t xml:space="preserve">Sono fondamentali per valutare quanto bene il modello scelto descrive la serie temporale.
</t>
        </r>
      </text>
      <mc:AlternateContent>
        <mc:Choice Requires="v2">
          <commentPr autoFill="true" autoScale="false" colHidden="false" locked="false" rowHidden="false" textHAlign="justify" textVAlign="top">
            <anchor moveWithCells="false" sizeWithCells="false">
              <xdr:from>
                <xdr:col>8</xdr:col>
                <xdr:colOff>167</xdr:colOff>
                <xdr:row>91</xdr:row>
                <xdr:rowOff>10</xdr:rowOff>
              </xdr:from>
              <xdr:to>
                <xdr:col>9</xdr:col>
                <xdr:colOff>150</xdr:colOff>
                <xdr:row>95</xdr:row>
                <xdr:rowOff>13</xdr:rowOff>
              </xdr:to>
            </anchor>
          </commentPr>
        </mc:Choice>
        <mc:Fallback/>
      </mc:AlternateContent>
    </comment>
    <comment ref="J44" authorId="0">
      <text>
        <r>
          <rPr>
            <sz val="10"/>
            <rFont val="Noto Sans"/>
            <family val="2"/>
          </rPr>
          <t xml:space="preserve">Nel quarto trimestre del 2007 si registra una variazione di 0,96% inferiore rispetto al trimestre precedente</t>
        </r>
      </text>
      <mc:AlternateContent>
        <mc:Choice Requires="v2">
          <commentPr autoFill="true" autoScale="false" colHidden="false" locked="false" rowHidden="false" textHAlign="justify" textVAlign="top">
            <anchor moveWithCells="false" sizeWithCells="false">
              <xdr:from>
                <xdr:col>9</xdr:col>
                <xdr:colOff>118</xdr:colOff>
                <xdr:row>42</xdr:row>
                <xdr:rowOff>10</xdr:rowOff>
              </xdr:from>
              <xdr:to>
                <xdr:col>10</xdr:col>
                <xdr:colOff>120</xdr:colOff>
                <xdr:row>47</xdr:row>
                <xdr:rowOff>9</xdr:rowOff>
              </xdr:to>
            </anchor>
          </commentPr>
        </mc:Choice>
        <mc:Fallback/>
      </mc:AlternateContent>
    </comment>
    <comment ref="J53" authorId="0">
      <text>
        <r>
          <rPr>
            <sz val="10"/>
            <rFont val="Noto Sans"/>
            <family val="2"/>
          </rPr>
          <t xml:space="preserve">Nel primo trimestre del 2010 si registra una variazione dell'ordine di 2,77% </t>
        </r>
      </text>
      <mc:AlternateContent>
        <mc:Choice Requires="v2">
          <commentPr autoFill="true" autoScale="false" colHidden="false" locked="false" rowHidden="false" textHAlign="justify" textVAlign="top">
            <anchor moveWithCells="false" sizeWithCells="false">
              <xdr:from>
                <xdr:col>9</xdr:col>
                <xdr:colOff>118</xdr:colOff>
                <xdr:row>51</xdr:row>
                <xdr:rowOff>10</xdr:rowOff>
              </xdr:from>
              <xdr:to>
                <xdr:col>10</xdr:col>
                <xdr:colOff>120</xdr:colOff>
                <xdr:row>55</xdr:row>
                <xdr:rowOff>10</xdr:rowOff>
              </xdr:to>
            </anchor>
          </commentPr>
        </mc:Choice>
        <mc:Fallback/>
      </mc:AlternateContent>
    </comment>
    <comment ref="K47" authorId="0">
      <text>
        <r>
          <rPr>
            <sz val="10"/>
            <rFont val="Noto Sans"/>
            <family val="2"/>
          </rPr>
          <t xml:space="preserve">Nel terzo trimestre del 2008 si è registrato una variazione di 0,29% inferiore
</t>
        </r>
      </text>
      <mc:AlternateContent>
        <mc:Choice Requires="v2">
          <commentPr autoFill="true" autoScale="false" colHidden="false" locked="false" rowHidden="false" textHAlign="justify" textVAlign="top">
            <anchor moveWithCells="false" sizeWithCells="false">
              <xdr:from>
                <xdr:col>10</xdr:col>
                <xdr:colOff>106</xdr:colOff>
                <xdr:row>45</xdr:row>
                <xdr:rowOff>10</xdr:rowOff>
              </xdr:from>
              <xdr:to>
                <xdr:col>11</xdr:col>
                <xdr:colOff>116</xdr:colOff>
                <xdr:row>50</xdr:row>
                <xdr:rowOff>9</xdr:rowOff>
              </xdr:to>
            </anchor>
          </commentPr>
        </mc:Choice>
        <mc:Fallback/>
      </mc:AlternateContent>
    </comment>
    <comment ref="K50" authorId="0">
      <text>
        <r>
          <rPr>
            <sz val="10"/>
            <rFont val="Noto Sans"/>
            <family val="2"/>
          </rPr>
          <t xml:space="preserve">Nel secondo trimestre del 2009 la variazione è uguale a 3,81% 
</t>
        </r>
      </text>
      <mc:AlternateContent>
        <mc:Choice Requires="v2">
          <commentPr autoFill="true" autoScale="false" colHidden="false" locked="false" rowHidden="false" textHAlign="justify" textVAlign="top">
            <anchor moveWithCells="false" sizeWithCells="false">
              <xdr:from>
                <xdr:col>10</xdr:col>
                <xdr:colOff>106</xdr:colOff>
                <xdr:row>48</xdr:row>
                <xdr:rowOff>10</xdr:rowOff>
              </xdr:from>
              <xdr:to>
                <xdr:col>11</xdr:col>
                <xdr:colOff>116</xdr:colOff>
                <xdr:row>52</xdr:row>
                <xdr:rowOff>10</xdr:rowOff>
              </xdr:to>
            </anchor>
          </commentPr>
        </mc:Choice>
        <mc:Fallback/>
      </mc:AlternateContent>
    </comment>
    <comment ref="L48" authorId="0">
      <text>
        <r>
          <rPr>
            <sz val="10"/>
            <rFont val="Noto Sans"/>
            <family val="2"/>
          </rPr>
          <t xml:space="preserve">Nell'ultimo trimestre del 2008 si registra una variazione di 9,14% rispetto ai periodi di osservazione precedenti 
</t>
        </r>
      </text>
      <mc:AlternateContent>
        <mc:Choice Requires="v2">
          <commentPr autoFill="true" autoScale="false" colHidden="false" locked="false" rowHidden="false" textHAlign="justify" textVAlign="top">
            <anchor moveWithCells="false" sizeWithCells="false">
              <xdr:from>
                <xdr:col>11</xdr:col>
                <xdr:colOff>214</xdr:colOff>
                <xdr:row>46</xdr:row>
                <xdr:rowOff>10</xdr:rowOff>
              </xdr:from>
              <xdr:to>
                <xdr:col>13</xdr:col>
                <xdr:colOff>2</xdr:colOff>
                <xdr:row>52</xdr:row>
                <xdr:rowOff>7</xdr:rowOff>
              </xdr:to>
            </anchor>
          </commentPr>
        </mc:Choice>
        <mc:Fallback/>
      </mc:AlternateContent>
    </comment>
    <comment ref="L93" authorId="0">
      <text>
        <r>
          <rPr>
            <sz val="10"/>
            <rFont val="Noto Sans"/>
            <family val="2"/>
          </rPr>
          <t xml:space="preserve">Essa è stata calcolata per ogni arco temporale considerato di 4 trimestri per ogni anno. 
é uguale alla media delle variazioni della componente erratica per ogni periodo considerato.  
</t>
        </r>
      </text>
      <mc:AlternateContent>
        <mc:Choice Requires="v2">
          <commentPr autoFill="true" autoScale="false" colHidden="false" locked="false" rowHidden="false" textHAlign="justify" textVAlign="top">
            <anchor moveWithCells="false" sizeWithCells="false">
              <xdr:from>
                <xdr:col>11</xdr:col>
                <xdr:colOff>214</xdr:colOff>
                <xdr:row>91</xdr:row>
                <xdr:rowOff>10</xdr:rowOff>
              </xdr:from>
              <xdr:to>
                <xdr:col>13</xdr:col>
                <xdr:colOff>50</xdr:colOff>
                <xdr:row>99</xdr:row>
                <xdr:rowOff>2</xdr:rowOff>
              </xdr:to>
            </anchor>
          </commentPr>
        </mc:Choice>
        <mc:Fallback/>
      </mc:AlternateContent>
    </comment>
    <comment ref="M53" authorId="0">
      <text>
        <r>
          <rPr>
            <sz val="10"/>
            <rFont val="Noto Sans"/>
            <family val="2"/>
          </rPr>
          <t xml:space="preserve">Nel primo trimestre del 2010 si registra una variazione dell'ordine di 2,79%  rispetto ai periodi precedenti</t>
        </r>
      </text>
      <mc:AlternateContent>
        <mc:Choice Requires="v2">
          <commentPr autoFill="true" autoScale="false" colHidden="false" locked="false" rowHidden="false" textHAlign="justify" textVAlign="top">
            <anchor moveWithCells="false" sizeWithCells="false">
              <xdr:from>
                <xdr:col>12</xdr:col>
                <xdr:colOff>124</xdr:colOff>
                <xdr:row>51</xdr:row>
                <xdr:rowOff>10</xdr:rowOff>
              </xdr:from>
              <xdr:to>
                <xdr:col>14</xdr:col>
                <xdr:colOff>62</xdr:colOff>
                <xdr:row>56</xdr:row>
                <xdr:rowOff>3</xdr:rowOff>
              </xdr:to>
            </anchor>
          </commentPr>
        </mc:Choice>
        <mc:Fallback/>
      </mc:AlternateContent>
    </comment>
    <comment ref="M101" authorId="0">
      <text>
        <r>
          <rPr>
            <sz val="10"/>
            <rFont val="Noto Sans"/>
            <family val="2"/>
          </rPr>
          <t xml:space="preserve">Mediamente abbiamo rilevato una variazione trimestrale espresso in milioni di euro dell'ordine di 726004.98 euro. </t>
        </r>
      </text>
      <mc:AlternateContent>
        <mc:Choice Requires="v2">
          <commentPr autoFill="true" autoScale="false" colHidden="false" locked="false" rowHidden="false" textHAlign="justify" textVAlign="top">
            <anchor moveWithCells="false" sizeWithCells="false">
              <xdr:from>
                <xdr:col>12</xdr:col>
                <xdr:colOff>124</xdr:colOff>
                <xdr:row>99</xdr:row>
                <xdr:rowOff>12</xdr:rowOff>
              </xdr:from>
              <xdr:to>
                <xdr:col>14</xdr:col>
                <xdr:colOff>52</xdr:colOff>
                <xdr:row>104</xdr:row>
                <xdr:rowOff>12</xdr:rowOff>
              </xdr:to>
            </anchor>
          </commentPr>
        </mc:Choice>
        <mc:Fallback/>
      </mc:AlternateContent>
    </comment>
    <comment ref="M104" authorId="0">
      <text>
        <r>
          <rPr>
            <sz val="10"/>
            <rFont val="Noto Sans"/>
            <family val="2"/>
          </rPr>
          <t xml:space="preserve">La variabilità media in euro nel periodo di osservazione ammonta a 0,019 euro
</t>
        </r>
      </text>
      <mc:AlternateContent>
        <mc:Choice Requires="v2">
          <commentPr autoFill="true" autoScale="false" colHidden="false" locked="false" rowHidden="false" textHAlign="justify" textVAlign="top">
            <anchor moveWithCells="false" sizeWithCells="false">
              <xdr:from>
                <xdr:col>12</xdr:col>
                <xdr:colOff>124</xdr:colOff>
                <xdr:row>102</xdr:row>
                <xdr:rowOff>12</xdr:rowOff>
              </xdr:from>
              <xdr:to>
                <xdr:col>14</xdr:col>
                <xdr:colOff>19</xdr:colOff>
                <xdr:row>107</xdr:row>
                <xdr:rowOff>7</xdr:rowOff>
              </xdr:to>
            </anchor>
          </commentPr>
        </mc:Choice>
        <mc:Fallback/>
      </mc:AlternateContent>
    </comment>
    <comment ref="M129" authorId="0">
      <text>
        <r>
          <rPr>
            <sz val="10"/>
            <rFont val="Noto Sans"/>
            <family val="2"/>
          </rPr>
          <t xml:space="preserve">Mediamente abbiamo rilevato una variazione trimestrale espresso in milioni di euro dell'ordine di 132130,04 euro.</t>
        </r>
      </text>
      <mc:AlternateContent>
        <mc:Choice Requires="v2">
          <commentPr autoFill="true" autoScale="false" colHidden="false" locked="false" rowHidden="false" textHAlign="justify" textVAlign="top">
            <anchor moveWithCells="false" sizeWithCells="false">
              <xdr:from>
                <xdr:col>12</xdr:col>
                <xdr:colOff>124</xdr:colOff>
                <xdr:row>131</xdr:row>
                <xdr:rowOff>17</xdr:rowOff>
              </xdr:from>
              <xdr:to>
                <xdr:col>14</xdr:col>
                <xdr:colOff>20</xdr:colOff>
                <xdr:row>136</xdr:row>
                <xdr:rowOff>16</xdr:rowOff>
              </xdr:to>
            </anchor>
          </commentPr>
        </mc:Choice>
        <mc:Fallback/>
      </mc:AlternateContent>
    </comment>
    <comment ref="M132" authorId="0">
      <text>
        <r>
          <rPr>
            <sz val="10"/>
            <rFont val="Noto Sans"/>
            <family val="2"/>
          </rPr>
          <t xml:space="preserve">La variabilità media in euro nel periodo di osservazione ammonta a 0.018 euro
</t>
        </r>
      </text>
      <mc:AlternateContent>
        <mc:Choice Requires="v2">
          <commentPr autoFill="true" autoScale="false" colHidden="false" locked="false" rowHidden="false" textHAlign="justify" textVAlign="top">
            <anchor moveWithCells="false" sizeWithCells="false">
              <xdr:from>
                <xdr:col>12</xdr:col>
                <xdr:colOff>124</xdr:colOff>
                <xdr:row>134</xdr:row>
                <xdr:rowOff>14</xdr:rowOff>
              </xdr:from>
              <xdr:to>
                <xdr:col>14</xdr:col>
                <xdr:colOff>20</xdr:colOff>
                <xdr:row>139</xdr:row>
                <xdr:rowOff>13</xdr:rowOff>
              </xdr:to>
            </anchor>
          </commentPr>
        </mc:Choice>
        <mc:Fallback/>
      </mc:AlternateContent>
    </comment>
    <comment ref="M157" authorId="0">
      <text>
        <r>
          <rPr>
            <sz val="10"/>
            <rFont val="Noto Sans"/>
            <family val="2"/>
          </rPr>
          <t xml:space="preserve">Mediamente abbiamo rilevato una variazione trimestrale espresso in milioni di euro dell'ordine di 94652,97 euro.
</t>
        </r>
      </text>
      <mc:AlternateContent>
        <mc:Choice Requires="v2">
          <commentPr autoFill="true" autoScale="false" colHidden="false" locked="false" rowHidden="false" textHAlign="justify" textVAlign="top">
            <anchor moveWithCells="false" sizeWithCells="false">
              <xdr:from>
                <xdr:col>12</xdr:col>
                <xdr:colOff>124</xdr:colOff>
                <xdr:row>164</xdr:row>
                <xdr:rowOff>2</xdr:rowOff>
              </xdr:from>
              <xdr:to>
                <xdr:col>14</xdr:col>
                <xdr:colOff>20</xdr:colOff>
                <xdr:row>169</xdr:row>
                <xdr:rowOff>17</xdr:rowOff>
              </xdr:to>
            </anchor>
          </commentPr>
        </mc:Choice>
        <mc:Fallback/>
      </mc:AlternateContent>
    </comment>
    <comment ref="M160" authorId="0">
      <text>
        <r>
          <rPr>
            <sz val="10"/>
            <rFont val="Noto Sans"/>
            <family val="2"/>
          </rPr>
          <t xml:space="preserve">La variabilità media in euro nel periodo di osservazione ammonta a 0.033 euro
</t>
        </r>
      </text>
      <mc:AlternateContent>
        <mc:Choice Requires="v2">
          <commentPr autoFill="true" autoScale="false" colHidden="false" locked="false" rowHidden="false" textHAlign="justify" textVAlign="top">
            <anchor moveWithCells="false" sizeWithCells="false">
              <xdr:from>
                <xdr:col>12</xdr:col>
                <xdr:colOff>124</xdr:colOff>
                <xdr:row>167</xdr:row>
                <xdr:rowOff>5</xdr:rowOff>
              </xdr:from>
              <xdr:to>
                <xdr:col>14</xdr:col>
                <xdr:colOff>20</xdr:colOff>
                <xdr:row>172</xdr:row>
                <xdr:rowOff>4</xdr:rowOff>
              </xdr:to>
            </anchor>
          </commentPr>
        </mc:Choice>
        <mc:Fallback/>
      </mc:AlternateContent>
    </comment>
    <comment ref="M185" authorId="0">
      <text>
        <r>
          <rPr>
            <sz val="10"/>
            <rFont val="Noto Sans"/>
            <family val="2"/>
          </rPr>
          <t xml:space="preserve">Mediamente abbiamo rilevato una variazione trimestrale espresso in milioni di euro dell'ordine di 178667,22 euro.
</t>
        </r>
      </text>
      <mc:AlternateContent>
        <mc:Choice Requires="v2">
          <commentPr autoFill="true" autoScale="false" colHidden="false" locked="false" rowHidden="false" textHAlign="justify" textVAlign="top">
            <anchor moveWithCells="false" sizeWithCells="false">
              <xdr:from>
                <xdr:col>12</xdr:col>
                <xdr:colOff>124</xdr:colOff>
                <xdr:row>192</xdr:row>
                <xdr:rowOff>4</xdr:rowOff>
              </xdr:from>
              <xdr:to>
                <xdr:col>14</xdr:col>
                <xdr:colOff>20</xdr:colOff>
                <xdr:row>197</xdr:row>
                <xdr:rowOff>19</xdr:rowOff>
              </xdr:to>
            </anchor>
          </commentPr>
        </mc:Choice>
        <mc:Fallback/>
      </mc:AlternateContent>
    </comment>
    <comment ref="M188" authorId="0">
      <text>
        <r>
          <rPr>
            <sz val="10"/>
            <rFont val="Noto Sans"/>
            <family val="2"/>
          </rPr>
          <t xml:space="preserve">La variabilità media in euro nel periodo di osservazione ammonta a 0.022 euro
</t>
        </r>
      </text>
      <mc:AlternateContent>
        <mc:Choice Requires="v2">
          <commentPr autoFill="true" autoScale="false" colHidden="false" locked="false" rowHidden="false" textHAlign="justify" textVAlign="top">
            <anchor moveWithCells="false" sizeWithCells="false">
              <xdr:from>
                <xdr:col>13</xdr:col>
                <xdr:colOff>30</xdr:colOff>
                <xdr:row>195</xdr:row>
                <xdr:rowOff>14</xdr:rowOff>
              </xdr:from>
              <xdr:to>
                <xdr:col>14</xdr:col>
                <xdr:colOff>78</xdr:colOff>
                <xdr:row>201</xdr:row>
                <xdr:rowOff>10</xdr:rowOff>
              </xdr:to>
            </anchor>
          </commentPr>
        </mc:Choice>
        <mc:Fallback/>
      </mc:AlternateContent>
    </comment>
    <comment ref="M213" authorId="0">
      <text>
        <r>
          <rPr>
            <sz val="10"/>
            <rFont val="Noto Sans"/>
            <family val="2"/>
          </rPr>
          <t xml:space="preserve">Mediamente abbiamo rilevato una variazione trimestrale  espresso in milioni di euro dell'ordine di 85908,69  euro.
</t>
        </r>
      </text>
      <mc:AlternateContent>
        <mc:Choice Requires="v2">
          <commentPr autoFill="true" autoScale="false" colHidden="false" locked="false" rowHidden="false" textHAlign="justify" textVAlign="top">
            <anchor moveWithCells="false" sizeWithCells="false">
              <xdr:from>
                <xdr:col>12</xdr:col>
                <xdr:colOff>124</xdr:colOff>
                <xdr:row>224</xdr:row>
                <xdr:rowOff>11</xdr:rowOff>
              </xdr:from>
              <xdr:to>
                <xdr:col>14</xdr:col>
                <xdr:colOff>20</xdr:colOff>
                <xdr:row>230</xdr:row>
                <xdr:rowOff>8</xdr:rowOff>
              </xdr:to>
            </anchor>
          </commentPr>
        </mc:Choice>
        <mc:Fallback/>
      </mc:AlternateContent>
    </comment>
    <comment ref="M216" authorId="0">
      <text>
        <r>
          <rPr>
            <sz val="10"/>
            <rFont val="Noto Sans"/>
            <family val="2"/>
          </rPr>
          <t xml:space="preserve">La variabilità media in euro nel periodo di osservazione ammonta a 0.026 euro
</t>
        </r>
      </text>
      <mc:AlternateContent>
        <mc:Choice Requires="v2">
          <commentPr autoFill="true" autoScale="false" colHidden="false" locked="false" rowHidden="false" textHAlign="justify" textVAlign="top">
            <anchor moveWithCells="false" sizeWithCells="false">
              <xdr:from>
                <xdr:col>12</xdr:col>
                <xdr:colOff>124</xdr:colOff>
                <xdr:row>227</xdr:row>
                <xdr:rowOff>16</xdr:rowOff>
              </xdr:from>
              <xdr:to>
                <xdr:col>14</xdr:col>
                <xdr:colOff>20</xdr:colOff>
                <xdr:row>232</xdr:row>
                <xdr:rowOff>15</xdr:rowOff>
              </xdr:to>
            </anchor>
          </commentPr>
        </mc:Choice>
        <mc:Fallback/>
      </mc:AlternateContent>
    </comment>
    <comment ref="M241" authorId="0">
      <text>
        <r>
          <rPr>
            <sz val="10"/>
            <rFont val="Noto Sans"/>
            <family val="2"/>
          </rPr>
          <t xml:space="preserve">Mediamente abbiamo rilevato una variazione trimestrale espresso in milioni di euro dell'ordine di 1952,69 euro.
</t>
        </r>
      </text>
      <mc:AlternateContent>
        <mc:Choice Requires="v2">
          <commentPr autoFill="true" autoScale="false" colHidden="false" locked="false" rowHidden="false" textHAlign="justify" textVAlign="top">
            <anchor moveWithCells="false" sizeWithCells="false">
              <xdr:from>
                <xdr:col>12</xdr:col>
                <xdr:colOff>124</xdr:colOff>
                <xdr:row>257</xdr:row>
                <xdr:rowOff>2</xdr:rowOff>
              </xdr:from>
              <xdr:to>
                <xdr:col>14</xdr:col>
                <xdr:colOff>20</xdr:colOff>
                <xdr:row>262</xdr:row>
                <xdr:rowOff>18</xdr:rowOff>
              </xdr:to>
            </anchor>
          </commentPr>
        </mc:Choice>
        <mc:Fallback/>
      </mc:AlternateContent>
    </comment>
    <comment ref="M244" authorId="0">
      <text>
        <r>
          <rPr>
            <sz val="10"/>
            <rFont val="Noto Sans"/>
            <family val="2"/>
          </rPr>
          <t xml:space="preserve">La variabilità media in euro nel periodo di osservazione ammonta a 0.073 euro
</t>
        </r>
      </text>
      <mc:AlternateContent>
        <mc:Choice Requires="v2">
          <commentPr autoFill="true" autoScale="false" colHidden="false" locked="false" rowHidden="false" textHAlign="justify" textVAlign="top">
            <anchor moveWithCells="false" sizeWithCells="false">
              <xdr:from>
                <xdr:col>12</xdr:col>
                <xdr:colOff>124</xdr:colOff>
                <xdr:row>260</xdr:row>
                <xdr:rowOff>2</xdr:rowOff>
              </xdr:from>
              <xdr:to>
                <xdr:col>14</xdr:col>
                <xdr:colOff>20</xdr:colOff>
                <xdr:row>265</xdr:row>
                <xdr:rowOff>1</xdr:rowOff>
              </xdr:to>
            </anchor>
          </commentPr>
        </mc:Choice>
        <mc:Fallback/>
      </mc:AlternateContent>
    </comment>
    <comment ref="N49" authorId="0">
      <text>
        <r>
          <rPr>
            <sz val="10"/>
            <rFont val="Noto Sans"/>
            <family val="2"/>
          </rPr>
          <t xml:space="preserve">Nel primo trimestre del 2009 si registra una variazione di 4,51%
</t>
        </r>
      </text>
      <mc:AlternateContent>
        <mc:Choice Requires="v2">
          <commentPr autoFill="true" autoScale="false" colHidden="false" locked="false" rowHidden="false" textHAlign="justify" textVAlign="top">
            <anchor moveWithCells="false" sizeWithCells="false">
              <xdr:from>
                <xdr:col>13</xdr:col>
                <xdr:colOff>72</xdr:colOff>
                <xdr:row>47</xdr:row>
                <xdr:rowOff>10</xdr:rowOff>
              </xdr:from>
              <xdr:to>
                <xdr:col>15</xdr:col>
                <xdr:colOff>22</xdr:colOff>
                <xdr:row>51</xdr:row>
                <xdr:rowOff>10</xdr:rowOff>
              </xdr:to>
            </anchor>
          </commentPr>
        </mc:Choice>
        <mc:Fallback/>
      </mc:AlternateContent>
    </comment>
    <comment ref="O52" authorId="0">
      <text>
        <r>
          <rPr>
            <sz val="10"/>
            <rFont val="Noto Sans"/>
            <family val="2"/>
          </rPr>
          <t xml:space="preserve">Nell'ultimo trimestre del 2009 si registra una variazione dell'ordine di 3.01% punti inferiori 
</t>
        </r>
      </text>
      <mc:AlternateContent>
        <mc:Choice Requires="v2">
          <commentPr autoFill="true" autoScale="false" colHidden="false" locked="false" rowHidden="false" textHAlign="justify" textVAlign="top">
            <anchor moveWithCells="false" sizeWithCells="false">
              <xdr:from>
                <xdr:col>14</xdr:col>
                <xdr:colOff>70</xdr:colOff>
                <xdr:row>50</xdr:row>
                <xdr:rowOff>10</xdr:rowOff>
              </xdr:from>
              <xdr:to>
                <xdr:col>16</xdr:col>
                <xdr:colOff>2</xdr:colOff>
                <xdr:row>55</xdr:row>
                <xdr:rowOff>9</xdr:rowOff>
              </xdr:to>
            </anchor>
          </commentPr>
        </mc:Choice>
        <mc:Fallback/>
      </mc:AlternateContent>
    </comment>
  </commentList>
</comments>
</file>

<file path=xl/sharedStrings.xml><?xml version="1.0" encoding="utf-8"?>
<sst xmlns="http://schemas.openxmlformats.org/spreadsheetml/2006/main" count="448" uniqueCount="102">
  <si>
    <t xml:space="preserve">DEBITO PUBBLICO TRIMESTRALE</t>
  </si>
  <si>
    <t xml:space="preserve">DATASET</t>
  </si>
  <si>
    <t xml:space="preserve">Debito pubblico trimestrale</t>
  </si>
  <si>
    <t xml:space="preserve">UNITÀ DI MISURA</t>
  </si>
  <si>
    <t xml:space="preserve">Milioni di euro</t>
  </si>
  <si>
    <t xml:space="preserve">PERIODO DI OSSERVAZIONE</t>
  </si>
  <si>
    <t xml:space="preserve">Dal 2007 al 2010</t>
  </si>
  <si>
    <t xml:space="preserve">FREQUENZA</t>
  </si>
  <si>
    <t xml:space="preserve">Trimestri</t>
  </si>
  <si>
    <t xml:space="preserve"> </t>
  </si>
  <si>
    <t xml:space="preserve">TEMPO</t>
  </si>
  <si>
    <t xml:space="preserve">UNIONE EUROPEA (27 paesi membri)</t>
  </si>
  <si>
    <t xml:space="preserve">Germania</t>
  </si>
  <si>
    <t xml:space="preserve">Spagna</t>
  </si>
  <si>
    <t xml:space="preserve">Francia</t>
  </si>
  <si>
    <t xml:space="preserve">Italia</t>
  </si>
  <si>
    <t xml:space="preserve">Lussemburgo</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</si>
  <si>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</si>
  <si>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</si>
  <si>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</si>
  <si>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</si>
  <si>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</si>
  <si>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</si>
  <si>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</si>
  <si>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</si>
  <si>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</si>
  <si>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</si>
  <si>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</si>
  <si>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</si>
  <si>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</si>
  <si>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</si>
  <si>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</si>
  <si>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</si>
  <si>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r>
      <rPr>
        <b val="true"/>
        <sz val="11"/>
        <color rgb="FF806000"/>
        <rFont val="Calibri"/>
        <family val="2"/>
        <charset val="1"/>
      </rPr>
      <t xml:space="preserve">NUMERI INDICI A BASE FISSA  (2007 Q1): I </t>
    </r>
    <r>
      <rPr>
        <b val="true"/>
        <vertAlign val="subscript"/>
        <sz val="11"/>
        <color rgb="FF806000"/>
        <rFont val="Calibri"/>
        <family val="2"/>
        <charset val="1"/>
      </rPr>
      <t xml:space="preserve">2007,Q1</t>
    </r>
  </si>
  <si>
    <r>
      <rPr>
        <b val="true"/>
        <sz val="11"/>
        <color rgb="FF806000"/>
        <rFont val="Calibri"/>
        <family val="2"/>
        <charset val="1"/>
      </rPr>
      <t xml:space="preserve">NUMERI INDICI A BASE MOBILE: I </t>
    </r>
    <r>
      <rPr>
        <b val="true"/>
        <vertAlign val="subscript"/>
        <sz val="11"/>
        <color rgb="FF806000"/>
        <rFont val="Calibri"/>
        <family val="2"/>
        <charset val="1"/>
      </rPr>
      <t xml:space="preserve">t-1/t</t>
    </r>
  </si>
  <si>
    <t xml:space="preserve">-</t>
  </si>
  <si>
    <t xml:space="preserve">NUMERI INDICI A CONCATEMENTO (DA BASE FISSA A BASE MOBILE)</t>
  </si>
  <si>
    <t xml:space="preserve">ANALISI CLASSICA</t>
  </si>
  <si>
    <t xml:space="preserve">UNIONE EUROPEA (27 paesi membri) </t>
  </si>
  <si>
    <t xml:space="preserve">Tempo</t>
  </si>
  <si>
    <r>
      <rPr>
        <b val="true"/>
        <sz val="11"/>
        <color rgb="FF806000"/>
        <rFont val="Calibri"/>
        <family val="2"/>
        <charset val="1"/>
      </rPr>
      <t xml:space="preserve">Y</t>
    </r>
    <r>
      <rPr>
        <b val="true"/>
        <vertAlign val="subscript"/>
        <sz val="11"/>
        <color rgb="FF806000"/>
        <rFont val="Calibri"/>
        <family val="2"/>
        <charset val="1"/>
      </rPr>
      <t xml:space="preserve">t</t>
    </r>
  </si>
  <si>
    <r>
      <rPr>
        <b val="true"/>
        <sz val="11"/>
        <color rgb="FF806000"/>
        <rFont val="Calibri"/>
        <family val="2"/>
        <charset val="1"/>
      </rPr>
      <t xml:space="preserve">MM</t>
    </r>
    <r>
      <rPr>
        <b val="true"/>
        <vertAlign val="subscript"/>
        <sz val="8"/>
        <color rgb="FF806000"/>
        <rFont val="Calibri"/>
        <family val="2"/>
        <charset val="1"/>
      </rPr>
      <t xml:space="preserve">t</t>
    </r>
  </si>
  <si>
    <r>
      <rPr>
        <b val="true"/>
        <sz val="11"/>
        <color rgb="FF806000"/>
        <rFont val="Calibri"/>
        <family val="2"/>
        <charset val="1"/>
      </rPr>
      <t xml:space="preserve">SE</t>
    </r>
    <r>
      <rPr>
        <b val="true"/>
        <vertAlign val="subscript"/>
        <sz val="11"/>
        <color rgb="FF806000"/>
        <rFont val="Calibri"/>
        <family val="2"/>
        <charset val="1"/>
      </rPr>
      <t xml:space="preserve">t</t>
    </r>
  </si>
  <si>
    <r>
      <rPr>
        <b val="true"/>
        <sz val="11"/>
        <color rgb="FF806000"/>
        <rFont val="Calibri"/>
        <family val="2"/>
        <charset val="1"/>
      </rPr>
      <t xml:space="preserve">S</t>
    </r>
    <r>
      <rPr>
        <b val="true"/>
        <vertAlign val="subscript"/>
        <sz val="11"/>
        <color rgb="FF806000"/>
        <rFont val="Calibri"/>
        <family val="2"/>
        <charset val="1"/>
      </rPr>
      <t xml:space="preserve">t</t>
    </r>
  </si>
  <si>
    <r>
      <rPr>
        <b val="true"/>
        <sz val="11"/>
        <color rgb="FF806000"/>
        <rFont val="Calibri"/>
        <family val="2"/>
        <charset val="1"/>
      </rPr>
      <t xml:space="preserve">D</t>
    </r>
    <r>
      <rPr>
        <b val="true"/>
        <vertAlign val="subscript"/>
        <sz val="11"/>
        <color rgb="FF806000"/>
        <rFont val="Calibri"/>
        <family val="2"/>
        <charset val="1"/>
      </rPr>
      <t xml:space="preserve">t</t>
    </r>
    <r>
      <rPr>
        <b val="true"/>
        <sz val="11"/>
        <color rgb="FF806000"/>
        <rFont val="Calibri"/>
        <family val="2"/>
        <charset val="1"/>
      </rPr>
      <t xml:space="preserve"> (Y</t>
    </r>
    <r>
      <rPr>
        <b val="true"/>
        <vertAlign val="subscript"/>
        <sz val="11"/>
        <color rgb="FF806000"/>
        <rFont val="Calibri"/>
        <family val="2"/>
        <charset val="1"/>
      </rPr>
      <t xml:space="preserve">t</t>
    </r>
    <r>
      <rPr>
        <b val="true"/>
        <sz val="11"/>
        <color rgb="FF806000"/>
        <rFont val="Calibri"/>
        <family val="2"/>
        <charset val="1"/>
      </rPr>
      <t xml:space="preserve">-S</t>
    </r>
    <r>
      <rPr>
        <b val="true"/>
        <vertAlign val="subscript"/>
        <sz val="11"/>
        <color rgb="FF806000"/>
        <rFont val="Calibri"/>
        <family val="2"/>
        <charset val="1"/>
      </rPr>
      <t xml:space="preserve">t</t>
    </r>
    <r>
      <rPr>
        <b val="true"/>
        <sz val="11"/>
        <color rgb="FF806000"/>
        <rFont val="Calibri"/>
        <family val="2"/>
        <charset val="1"/>
      </rPr>
      <t xml:space="preserve">)</t>
    </r>
  </si>
  <si>
    <r>
      <rPr>
        <b val="true"/>
        <sz val="11"/>
        <color rgb="FF806000"/>
        <rFont val="Calibri"/>
        <family val="2"/>
        <charset val="1"/>
      </rPr>
      <t xml:space="preserve">T</t>
    </r>
    <r>
      <rPr>
        <b val="true"/>
        <vertAlign val="subscript"/>
        <sz val="11"/>
        <color rgb="FF806000"/>
        <rFont val="Calibri"/>
        <family val="2"/>
        <charset val="1"/>
      </rPr>
      <t xml:space="preserve">t</t>
    </r>
  </si>
  <si>
    <r>
      <rPr>
        <b val="true"/>
        <sz val="11"/>
        <color rgb="FF806000"/>
        <rFont val="Calibri"/>
        <family val="2"/>
        <charset val="1"/>
      </rPr>
      <t xml:space="preserve">Y</t>
    </r>
    <r>
      <rPr>
        <b val="true"/>
        <vertAlign val="subscript"/>
        <sz val="11"/>
        <color rgb="FF806000"/>
        <rFont val="Calibri"/>
        <family val="2"/>
        <charset val="1"/>
      </rPr>
      <t xml:space="preserve">t</t>
    </r>
    <r>
      <rPr>
        <b val="true"/>
        <sz val="11"/>
        <color rgb="FF806000"/>
        <rFont val="Calibri"/>
        <family val="2"/>
        <charset val="1"/>
      </rPr>
      <t xml:space="preserve">*(s</t>
    </r>
    <r>
      <rPr>
        <b val="true"/>
        <vertAlign val="subscript"/>
        <sz val="11"/>
        <color rgb="FF806000"/>
        <rFont val="Calibri"/>
        <family val="2"/>
        <charset val="1"/>
      </rPr>
      <t xml:space="preserve">t</t>
    </r>
    <r>
      <rPr>
        <b val="true"/>
        <sz val="11"/>
        <color rgb="FF806000"/>
        <rFont val="Calibri"/>
        <family val="2"/>
        <charset val="1"/>
      </rPr>
      <t xml:space="preserve">+T</t>
    </r>
    <r>
      <rPr>
        <b val="true"/>
        <vertAlign val="subscript"/>
        <sz val="11"/>
        <color rgb="FF806000"/>
        <rFont val="Calibri"/>
        <family val="2"/>
        <charset val="1"/>
      </rPr>
      <t xml:space="preserve">t</t>
    </r>
    <r>
      <rPr>
        <b val="true"/>
        <sz val="11"/>
        <color rgb="FF806000"/>
        <rFont val="Calibri"/>
        <family val="2"/>
        <charset val="1"/>
      </rPr>
      <t xml:space="preserve">)</t>
    </r>
  </si>
  <si>
    <r>
      <rPr>
        <b val="true"/>
        <sz val="11"/>
        <color rgb="FF806000"/>
        <rFont val="Calibri"/>
        <family val="2"/>
        <charset val="1"/>
      </rPr>
      <t xml:space="preserve">R</t>
    </r>
    <r>
      <rPr>
        <b val="true"/>
        <vertAlign val="subscript"/>
        <sz val="11"/>
        <color rgb="FF806000"/>
        <rFont val="Calibri"/>
        <family val="2"/>
        <charset val="1"/>
      </rPr>
      <t xml:space="preserve">t</t>
    </r>
    <r>
      <rPr>
        <b val="true"/>
        <sz val="11"/>
        <color rgb="FF806000"/>
        <rFont val="Calibri"/>
        <family val="2"/>
        <charset val="1"/>
      </rPr>
      <t xml:space="preserve"> (Y</t>
    </r>
    <r>
      <rPr>
        <b val="true"/>
        <vertAlign val="subscript"/>
        <sz val="11"/>
        <color rgb="FF806000"/>
        <rFont val="Calibri"/>
        <family val="2"/>
        <charset val="1"/>
      </rPr>
      <t xml:space="preserve">t</t>
    </r>
    <r>
      <rPr>
        <b val="true"/>
        <sz val="11"/>
        <color rgb="FF806000"/>
        <rFont val="Calibri"/>
        <family val="2"/>
        <charset val="1"/>
      </rPr>
      <t xml:space="preserve">-Y</t>
    </r>
    <r>
      <rPr>
        <b val="true"/>
        <vertAlign val="subscript"/>
        <sz val="11"/>
        <color rgb="FF806000"/>
        <rFont val="Calibri"/>
        <family val="2"/>
        <charset val="1"/>
      </rPr>
      <t xml:space="preserve">t</t>
    </r>
    <r>
      <rPr>
        <b val="true"/>
        <sz val="11"/>
        <color rgb="FF806000"/>
        <rFont val="Calibri"/>
        <family val="2"/>
        <charset val="1"/>
      </rPr>
      <t xml:space="preserve">*)</t>
    </r>
  </si>
  <si>
    <r>
      <rPr>
        <b val="true"/>
        <sz val="10"/>
        <color rgb="FF806000"/>
        <rFont val="Arial"/>
        <family val="2"/>
        <charset val="1"/>
      </rPr>
      <t xml:space="preserve">R</t>
    </r>
    <r>
      <rPr>
        <b val="true"/>
        <vertAlign val="subscript"/>
        <sz val="10"/>
        <color rgb="FF806000"/>
        <rFont val="Arial"/>
        <family val="2"/>
        <charset val="1"/>
      </rPr>
      <t xml:space="preserve">st</t>
    </r>
  </si>
  <si>
    <r>
      <rPr>
        <b val="true"/>
        <sz val="11"/>
        <color rgb="FF806000"/>
        <rFont val="Calibri"/>
        <family val="2"/>
        <charset val="1"/>
      </rPr>
      <t xml:space="preserve">Stima della componente stagionale</t>
    </r>
    <r>
      <rPr>
        <sz val="11"/>
        <color rgb="FF806000"/>
        <rFont val="Calibri"/>
        <family val="2"/>
        <charset val="1"/>
      </rPr>
      <t xml:space="preserve"> </t>
    </r>
  </si>
  <si>
    <r>
      <rPr>
        <sz val="11"/>
        <color rgb="FF000000"/>
        <rFont val="Calibri"/>
        <family val="2"/>
        <charset val="1"/>
      </rPr>
      <t xml:space="preserve">S</t>
    </r>
    <r>
      <rPr>
        <vertAlign val="subscript"/>
        <sz val="11"/>
        <color rgb="FF000000"/>
        <rFont val="Calibri"/>
        <family val="2"/>
        <charset val="1"/>
      </rPr>
      <t xml:space="preserve">t</t>
    </r>
  </si>
  <si>
    <t xml:space="preserve">-19871162,72</t>
  </si>
  <si>
    <t xml:space="preserve">Q1</t>
  </si>
  <si>
    <t xml:space="preserve">-17825417,54</t>
  </si>
  <si>
    <t xml:space="preserve">-18752560,75</t>
  </si>
  <si>
    <t xml:space="preserve">-21114701,24</t>
  </si>
  <si>
    <t xml:space="preserve">-21791971,35</t>
  </si>
  <si>
    <t xml:space="preserve">-17967678,49</t>
  </si>
  <si>
    <t xml:space="preserve">Q2</t>
  </si>
  <si>
    <t xml:space="preserve">-17858818,06</t>
  </si>
  <si>
    <t xml:space="preserve">-19304823,31</t>
  </si>
  <si>
    <t xml:space="preserve">-21484461,38</t>
  </si>
  <si>
    <t xml:space="preserve">-13222611,2</t>
  </si>
  <si>
    <t xml:space="preserve">-16162826,78</t>
  </si>
  <si>
    <t xml:space="preserve">Q3</t>
  </si>
  <si>
    <t xml:space="preserve">-18048338,78</t>
  </si>
  <si>
    <t xml:space="preserve">-20093697,81</t>
  </si>
  <si>
    <t xml:space="preserve">-21918560,56</t>
  </si>
  <si>
    <t xml:space="preserve">-4590709,95</t>
  </si>
  <si>
    <t xml:space="preserve">-14274692,21</t>
  </si>
  <si>
    <t xml:space="preserve">Q4</t>
  </si>
  <si>
    <t xml:space="preserve">-18400225,41</t>
  </si>
  <si>
    <t xml:space="preserve">-20715128,51</t>
  </si>
  <si>
    <t xml:space="preserve">-22423784,3</t>
  </si>
  <si>
    <t xml:space="preserve">4440369,4</t>
  </si>
  <si>
    <r>
      <rPr>
        <sz val="11"/>
        <color theme="7" tint="-0.5"/>
        <rFont val="Symbol"/>
        <family val="1"/>
        <charset val="2"/>
      </rPr>
      <t xml:space="preserve">D</t>
    </r>
    <r>
      <rPr>
        <vertAlign val="subscript"/>
        <sz val="11"/>
        <color theme="7" tint="-0.5"/>
        <rFont val="Calibri"/>
        <family val="2"/>
        <charset val="1"/>
      </rPr>
      <t xml:space="preserve">trimestrale</t>
    </r>
    <r>
      <rPr>
        <sz val="11"/>
        <color theme="7" tint="-0.5"/>
        <rFont val="Calibri"/>
        <family val="2"/>
        <charset val="1"/>
      </rPr>
      <t xml:space="preserve">=</t>
    </r>
  </si>
  <si>
    <r>
      <rPr>
        <sz val="11"/>
        <color theme="7" tint="-0.5"/>
        <rFont val="Symbol"/>
        <family val="1"/>
        <charset val="2"/>
      </rPr>
      <t xml:space="preserve">s</t>
    </r>
    <r>
      <rPr>
        <sz val="11"/>
        <color theme="7" tint="-0.5"/>
        <rFont val="Calibri"/>
        <family val="2"/>
        <charset val="1"/>
      </rPr>
      <t xml:space="preserve">=</t>
    </r>
  </si>
  <si>
    <t xml:space="preserve">Xinf</t>
  </si>
  <si>
    <t xml:space="preserve">Xsup</t>
  </si>
  <si>
    <r>
      <rPr>
        <b val="true"/>
        <sz val="11"/>
        <color theme="7" tint="-0.5"/>
        <rFont val="Calibri"/>
        <family val="2"/>
        <charset val="1"/>
      </rPr>
      <t xml:space="preserve">f(R</t>
    </r>
    <r>
      <rPr>
        <b val="true"/>
        <vertAlign val="subscript"/>
        <sz val="11"/>
        <color theme="7" tint="-0.5"/>
        <rFont val="Calibri"/>
        <family val="2"/>
        <charset val="1"/>
      </rPr>
      <t xml:space="preserve">st</t>
    </r>
    <r>
      <rPr>
        <b val="true"/>
        <sz val="11"/>
        <color theme="7" tint="-0.5"/>
        <rFont val="Calibri"/>
        <family val="2"/>
        <charset val="1"/>
      </rPr>
      <t xml:space="preserve">)</t>
    </r>
  </si>
  <si>
    <t xml:space="preserve">&lt;</t>
  </si>
  <si>
    <t xml:space="preserve">Media</t>
  </si>
  <si>
    <t xml:space="preserve">Varianza</t>
  </si>
  <si>
    <t xml:space="preserve">Minimo</t>
  </si>
  <si>
    <t xml:space="preserve">&gt;</t>
  </si>
  <si>
    <t xml:space="preserve">Massimo</t>
  </si>
  <si>
    <t xml:space="preserve">SQM</t>
  </si>
  <si>
    <r>
      <rPr>
        <b val="true"/>
        <sz val="11"/>
        <color theme="7" tint="-0.5"/>
        <rFont val="Calibri"/>
        <family val="2"/>
        <charset val="1"/>
      </rPr>
      <t xml:space="preserve">Y</t>
    </r>
    <r>
      <rPr>
        <b val="true"/>
        <vertAlign val="subscript"/>
        <sz val="11"/>
        <color theme="7" tint="-0.5"/>
        <rFont val="Calibri"/>
        <family val="2"/>
        <charset val="1"/>
      </rPr>
      <t xml:space="preserve">t</t>
    </r>
  </si>
  <si>
    <r>
      <rPr>
        <b val="true"/>
        <sz val="11"/>
        <color theme="7" tint="-0.5"/>
        <rFont val="Calibri"/>
        <family val="2"/>
        <charset val="1"/>
      </rPr>
      <t xml:space="preserve">MM</t>
    </r>
    <r>
      <rPr>
        <b val="true"/>
        <vertAlign val="subscript"/>
        <sz val="8"/>
        <color theme="7" tint="-0.5"/>
        <rFont val="Calibri"/>
        <family val="2"/>
        <charset val="1"/>
      </rPr>
      <t xml:space="preserve">t</t>
    </r>
  </si>
  <si>
    <r>
      <rPr>
        <b val="true"/>
        <sz val="11"/>
        <color theme="7" tint="-0.5"/>
        <rFont val="Calibri"/>
        <family val="2"/>
        <charset val="1"/>
      </rPr>
      <t xml:space="preserve">SE</t>
    </r>
    <r>
      <rPr>
        <b val="true"/>
        <vertAlign val="subscript"/>
        <sz val="11"/>
        <color theme="7" tint="-0.5"/>
        <rFont val="Calibri"/>
        <family val="2"/>
        <charset val="1"/>
      </rPr>
      <t xml:space="preserve">t</t>
    </r>
  </si>
  <si>
    <r>
      <rPr>
        <b val="true"/>
        <sz val="11"/>
        <color theme="7" tint="-0.5"/>
        <rFont val="Calibri"/>
        <family val="2"/>
        <charset val="1"/>
      </rPr>
      <t xml:space="preserve">S</t>
    </r>
    <r>
      <rPr>
        <b val="true"/>
        <vertAlign val="subscript"/>
        <sz val="11"/>
        <color theme="7" tint="-0.5"/>
        <rFont val="Calibri"/>
        <family val="2"/>
        <charset val="1"/>
      </rPr>
      <t xml:space="preserve">t</t>
    </r>
  </si>
  <si>
    <r>
      <rPr>
        <b val="true"/>
        <sz val="11"/>
        <color theme="7" tint="-0.5"/>
        <rFont val="Calibri"/>
        <family val="2"/>
        <charset val="1"/>
      </rPr>
      <t xml:space="preserve">D</t>
    </r>
    <r>
      <rPr>
        <b val="true"/>
        <vertAlign val="subscript"/>
        <sz val="11"/>
        <color theme="7" tint="-0.5"/>
        <rFont val="Calibri"/>
        <family val="2"/>
        <charset val="1"/>
      </rPr>
      <t xml:space="preserve">t</t>
    </r>
    <r>
      <rPr>
        <b val="true"/>
        <sz val="11"/>
        <color theme="7" tint="-0.5"/>
        <rFont val="Calibri"/>
        <family val="2"/>
        <charset val="1"/>
      </rPr>
      <t xml:space="preserve"> (Y</t>
    </r>
    <r>
      <rPr>
        <b val="true"/>
        <vertAlign val="subscript"/>
        <sz val="11"/>
        <color theme="7" tint="-0.5"/>
        <rFont val="Calibri"/>
        <family val="2"/>
        <charset val="1"/>
      </rPr>
      <t xml:space="preserve">t</t>
    </r>
    <r>
      <rPr>
        <b val="true"/>
        <sz val="11"/>
        <color theme="7" tint="-0.5"/>
        <rFont val="Calibri"/>
        <family val="2"/>
        <charset val="1"/>
      </rPr>
      <t xml:space="preserve">-S</t>
    </r>
    <r>
      <rPr>
        <b val="true"/>
        <vertAlign val="subscript"/>
        <sz val="11"/>
        <color theme="7" tint="-0.5"/>
        <rFont val="Calibri"/>
        <family val="2"/>
        <charset val="1"/>
      </rPr>
      <t xml:space="preserve">t</t>
    </r>
    <r>
      <rPr>
        <b val="true"/>
        <sz val="11"/>
        <color theme="7" tint="-0.5"/>
        <rFont val="Calibri"/>
        <family val="2"/>
        <charset val="1"/>
      </rPr>
      <t xml:space="preserve">)</t>
    </r>
  </si>
  <si>
    <r>
      <rPr>
        <b val="true"/>
        <sz val="11"/>
        <color theme="7" tint="-0.5"/>
        <rFont val="Calibri"/>
        <family val="2"/>
        <charset val="1"/>
      </rPr>
      <t xml:space="preserve">T</t>
    </r>
    <r>
      <rPr>
        <b val="true"/>
        <vertAlign val="subscript"/>
        <sz val="11"/>
        <color theme="7" tint="-0.5"/>
        <rFont val="Calibri"/>
        <family val="2"/>
        <charset val="1"/>
      </rPr>
      <t xml:space="preserve">t</t>
    </r>
  </si>
  <si>
    <r>
      <rPr>
        <b val="true"/>
        <sz val="11"/>
        <color theme="7" tint="-0.5"/>
        <rFont val="Calibri"/>
        <family val="2"/>
        <charset val="1"/>
      </rPr>
      <t xml:space="preserve">Y</t>
    </r>
    <r>
      <rPr>
        <b val="true"/>
        <vertAlign val="subscript"/>
        <sz val="11"/>
        <color theme="7" tint="-0.5"/>
        <rFont val="Calibri"/>
        <family val="2"/>
        <charset val="1"/>
      </rPr>
      <t xml:space="preserve">t</t>
    </r>
    <r>
      <rPr>
        <b val="true"/>
        <sz val="11"/>
        <color theme="7" tint="-0.5"/>
        <rFont val="Calibri"/>
        <family val="2"/>
        <charset val="1"/>
      </rPr>
      <t xml:space="preserve">*(s</t>
    </r>
    <r>
      <rPr>
        <b val="true"/>
        <vertAlign val="subscript"/>
        <sz val="11"/>
        <color theme="7" tint="-0.5"/>
        <rFont val="Calibri"/>
        <family val="2"/>
        <charset val="1"/>
      </rPr>
      <t xml:space="preserve">t</t>
    </r>
    <r>
      <rPr>
        <b val="true"/>
        <sz val="11"/>
        <color theme="7" tint="-0.5"/>
        <rFont val="Calibri"/>
        <family val="2"/>
        <charset val="1"/>
      </rPr>
      <t xml:space="preserve">+T</t>
    </r>
    <r>
      <rPr>
        <b val="true"/>
        <vertAlign val="subscript"/>
        <sz val="11"/>
        <color theme="7" tint="-0.5"/>
        <rFont val="Calibri"/>
        <family val="2"/>
        <charset val="1"/>
      </rPr>
      <t xml:space="preserve">t</t>
    </r>
    <r>
      <rPr>
        <b val="true"/>
        <sz val="11"/>
        <color theme="7" tint="-0.5"/>
        <rFont val="Calibri"/>
        <family val="2"/>
        <charset val="1"/>
      </rPr>
      <t xml:space="preserve">)</t>
    </r>
  </si>
  <si>
    <r>
      <rPr>
        <b val="true"/>
        <sz val="11"/>
        <color theme="7" tint="-0.5"/>
        <rFont val="Calibri"/>
        <family val="2"/>
        <charset val="1"/>
      </rPr>
      <t xml:space="preserve">R</t>
    </r>
    <r>
      <rPr>
        <b val="true"/>
        <vertAlign val="subscript"/>
        <sz val="11"/>
        <color theme="7" tint="-0.5"/>
        <rFont val="Calibri"/>
        <family val="2"/>
        <charset val="1"/>
      </rPr>
      <t xml:space="preserve">t</t>
    </r>
    <r>
      <rPr>
        <b val="true"/>
        <sz val="11"/>
        <color theme="7" tint="-0.5"/>
        <rFont val="Calibri"/>
        <family val="2"/>
        <charset val="1"/>
      </rPr>
      <t xml:space="preserve"> (Y</t>
    </r>
    <r>
      <rPr>
        <b val="true"/>
        <vertAlign val="subscript"/>
        <sz val="11"/>
        <color theme="7" tint="-0.5"/>
        <rFont val="Calibri"/>
        <family val="2"/>
        <charset val="1"/>
      </rPr>
      <t xml:space="preserve">t</t>
    </r>
    <r>
      <rPr>
        <b val="true"/>
        <sz val="11"/>
        <color theme="7" tint="-0.5"/>
        <rFont val="Calibri"/>
        <family val="2"/>
        <charset val="1"/>
      </rPr>
      <t xml:space="preserve">-Y</t>
    </r>
    <r>
      <rPr>
        <b val="true"/>
        <vertAlign val="subscript"/>
        <sz val="11"/>
        <color theme="7" tint="-0.5"/>
        <rFont val="Calibri"/>
        <family val="2"/>
        <charset val="1"/>
      </rPr>
      <t xml:space="preserve">t</t>
    </r>
    <r>
      <rPr>
        <b val="true"/>
        <sz val="11"/>
        <color theme="7" tint="-0.5"/>
        <rFont val="Calibri"/>
        <family val="2"/>
        <charset val="1"/>
      </rPr>
      <t xml:space="preserve">*)</t>
    </r>
  </si>
  <si>
    <t xml:space="preserve">Stima della componente stagionale </t>
  </si>
  <si>
    <r>
      <rPr>
        <sz val="11"/>
        <color theme="1"/>
        <rFont val="Calibri"/>
        <family val="2"/>
        <charset val="1"/>
      </rPr>
      <t xml:space="preserve">S</t>
    </r>
    <r>
      <rPr>
        <vertAlign val="subscript"/>
        <sz val="11"/>
        <color theme="1"/>
        <rFont val="Calibri"/>
        <family val="2"/>
        <charset val="1"/>
      </rPr>
      <t xml:space="preserve">t</t>
    </r>
  </si>
  <si>
    <r>
      <rPr>
        <b val="true"/>
        <sz val="11"/>
        <color theme="7" tint="-0.5"/>
        <rFont val="Calibri"/>
        <family val="2"/>
        <charset val="1"/>
      </rPr>
      <t xml:space="preserve">Stima della componente stagionale</t>
    </r>
    <r>
      <rPr>
        <sz val="11"/>
        <color theme="7" tint="-0.5"/>
        <rFont val="Calibri"/>
        <family val="2"/>
        <charset val="1"/>
      </rPr>
      <t xml:space="preserve"> </t>
    </r>
  </si>
  <si>
    <t xml:space="preserve">St</t>
  </si>
  <si>
    <t xml:space="preserve">stima della componente stagionale </t>
  </si>
  <si>
    <r>
      <rPr>
        <sz val="11"/>
        <color rgb="FF806000"/>
        <rFont val="Symbol"/>
        <family val="1"/>
        <charset val="2"/>
      </rPr>
      <t xml:space="preserve">D</t>
    </r>
    <r>
      <rPr>
        <vertAlign val="subscript"/>
        <sz val="11"/>
        <color rgb="FF806000"/>
        <rFont val="Calibri"/>
        <family val="2"/>
        <charset val="1"/>
      </rPr>
      <t xml:space="preserve">trimestrale</t>
    </r>
    <r>
      <rPr>
        <sz val="11"/>
        <color rgb="FF806000"/>
        <rFont val="Calibri"/>
        <family val="2"/>
        <charset val="1"/>
      </rPr>
      <t xml:space="preserve">=</t>
    </r>
  </si>
  <si>
    <t xml:space="preserve">Data browser: https://ec.europa.eu/eurostat/databrowser/view/gov_10q_ggdebt/default/table?lang=en&amp;category=gov.gov_gfs10.gov_10q</t>
  </si>
</sst>
</file>

<file path=xl/styles.xml><?xml version="1.0" encoding="utf-8"?>
<styleSheet xmlns="http://schemas.openxmlformats.org/spreadsheetml/2006/main">
  <numFmts count="6">
    <numFmt numFmtId="164" formatCode="General"/>
    <numFmt numFmtId="165" formatCode="0.00"/>
    <numFmt numFmtId="166" formatCode="0.000"/>
    <numFmt numFmtId="167" formatCode="_-* #,##0.000_-;\-* #,##0.000_-;_-* \-??_-;_-@_-"/>
    <numFmt numFmtId="168" formatCode="#,##0.000"/>
    <numFmt numFmtId="169" formatCode="#,##0"/>
  </numFmts>
  <fonts count="32">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1"/>
      <color theme="1"/>
      <name val="Calibri"/>
      <family val="2"/>
      <charset val="1"/>
    </font>
    <font>
      <b val="true"/>
      <sz val="9"/>
      <name val="Arial"/>
      <family val="2"/>
      <charset val="1"/>
    </font>
    <font>
      <u val="single"/>
      <sz val="11"/>
      <color theme="10"/>
      <name val="Calibri"/>
      <family val="2"/>
      <charset val="1"/>
    </font>
    <font>
      <sz val="9"/>
      <name val="Arial"/>
      <family val="2"/>
      <charset val="1"/>
    </font>
    <font>
      <sz val="10"/>
      <name val="Noto Sans"/>
      <family val="2"/>
    </font>
    <font>
      <sz val="11"/>
      <color rgb="FF000000"/>
      <name val="Calibri"/>
      <family val="0"/>
    </font>
    <font>
      <sz val="11"/>
      <name val="Calibri"/>
      <family val="0"/>
    </font>
    <font>
      <sz val="11"/>
      <color rgb="FF000000"/>
      <name val="Calibri"/>
      <family val="2"/>
    </font>
    <font>
      <b val="true"/>
      <sz val="11"/>
      <color rgb="FF806000"/>
      <name val="Calibri"/>
      <family val="2"/>
      <charset val="1"/>
    </font>
    <font>
      <b val="true"/>
      <vertAlign val="subscript"/>
      <sz val="11"/>
      <color rgb="FF806000"/>
      <name val="Calibri"/>
      <family val="2"/>
      <charset val="1"/>
    </font>
    <font>
      <sz val="11"/>
      <color theme="7" tint="-0.5"/>
      <name val="Calibri"/>
      <family val="2"/>
      <charset val="1"/>
    </font>
    <font>
      <b val="true"/>
      <sz val="11"/>
      <color rgb="FF000000"/>
      <name val="Calibri"/>
      <family val="2"/>
      <charset val="1"/>
    </font>
    <font>
      <sz val="11"/>
      <color rgb="FF806000"/>
      <name val="Calibri"/>
      <family val="2"/>
      <charset val="1"/>
    </font>
    <font>
      <b val="true"/>
      <vertAlign val="subscript"/>
      <sz val="8"/>
      <color rgb="FF806000"/>
      <name val="Calibri"/>
      <family val="2"/>
      <charset val="1"/>
    </font>
    <font>
      <b val="true"/>
      <sz val="10"/>
      <color rgb="FF806000"/>
      <name val="Arial"/>
      <family val="2"/>
      <charset val="1"/>
    </font>
    <font>
      <b val="true"/>
      <vertAlign val="subscript"/>
      <sz val="10"/>
      <color rgb="FF806000"/>
      <name val="Arial"/>
      <family val="2"/>
      <charset val="1"/>
    </font>
    <font>
      <vertAlign val="subscript"/>
      <sz val="11"/>
      <color rgb="FF000000"/>
      <name val="Calibri"/>
      <family val="2"/>
      <charset val="1"/>
    </font>
    <font>
      <sz val="11"/>
      <color theme="7" tint="-0.5"/>
      <name val="Symbol"/>
      <family val="1"/>
      <charset val="2"/>
    </font>
    <font>
      <vertAlign val="subscript"/>
      <sz val="11"/>
      <color theme="7" tint="-0.5"/>
      <name val="Calibri"/>
      <family val="2"/>
      <charset val="1"/>
    </font>
    <font>
      <b val="true"/>
      <sz val="11"/>
      <color theme="7" tint="-0.5"/>
      <name val="Calibri"/>
      <family val="2"/>
      <charset val="1"/>
    </font>
    <font>
      <b val="true"/>
      <vertAlign val="subscript"/>
      <sz val="11"/>
      <color theme="7" tint="-0.5"/>
      <name val="Calibri"/>
      <family val="2"/>
      <charset val="1"/>
    </font>
    <font>
      <b val="true"/>
      <vertAlign val="subscript"/>
      <sz val="8"/>
      <color theme="7" tint="-0.5"/>
      <name val="Calibri"/>
      <family val="2"/>
      <charset val="1"/>
    </font>
    <font>
      <vertAlign val="subscript"/>
      <sz val="11"/>
      <color theme="1"/>
      <name val="Calibri"/>
      <family val="2"/>
      <charset val="1"/>
    </font>
    <font>
      <sz val="11"/>
      <color rgb="FF806000"/>
      <name val="Symbol"/>
      <family val="1"/>
      <charset val="2"/>
    </font>
    <font>
      <vertAlign val="subscript"/>
      <sz val="11"/>
      <color rgb="FF806000"/>
      <name val="Calibri"/>
      <family val="2"/>
      <charset val="1"/>
    </font>
    <font>
      <sz val="14"/>
      <color rgb="FF595959"/>
      <name val="Calibri"/>
      <family val="2"/>
    </font>
    <font>
      <sz val="9"/>
      <color rgb="FF595959"/>
      <name val="Calibri"/>
      <family val="2"/>
    </font>
  </fonts>
  <fills count="6">
    <fill>
      <patternFill patternType="none"/>
    </fill>
    <fill>
      <patternFill patternType="gray125"/>
    </fill>
    <fill>
      <patternFill patternType="solid">
        <fgColor rgb="FFFFE7A1"/>
        <bgColor rgb="FFFFE699"/>
      </patternFill>
    </fill>
    <fill>
      <patternFill patternType="solid">
        <fgColor theme="7" tint="0.5999"/>
        <bgColor rgb="FFFFE7A1"/>
      </patternFill>
    </fill>
    <fill>
      <patternFill patternType="solid">
        <fgColor theme="7" tint="0.7999"/>
        <bgColor rgb="FFFFE7A1"/>
      </patternFill>
    </fill>
    <fill>
      <patternFill patternType="solid">
        <fgColor theme="0"/>
        <bgColor rgb="FFFFF2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style="thin"/>
      <bottom/>
      <diagonal/>
    </border>
    <border diagonalUp="false" diagonalDown="false">
      <left style="thin"/>
      <right style="thin"/>
      <top/>
      <bottom/>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top/>
      <bottom/>
      <diagonal/>
    </border>
    <border diagonalUp="false" diagonalDown="false">
      <left style="thin"/>
      <right style="thin"/>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2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right" vertical="bottom" textRotation="0" wrapText="false" indent="0" shrinkToFit="false"/>
      <protection locked="true" hidden="false"/>
    </xf>
    <xf numFmtId="164" fontId="13" fillId="0" borderId="2" xfId="0" applyFont="true" applyBorder="true" applyAlignment="true" applyProtection="false">
      <alignment horizontal="righ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true" applyBorder="true" applyAlignment="true" applyProtection="false">
      <alignment horizontal="right"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7" fontId="0" fillId="3" borderId="1"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right" vertical="bottom" textRotation="0" wrapText="false" indent="0" shrinkToFit="false"/>
      <protection locked="true" hidden="false"/>
    </xf>
    <xf numFmtId="165" fontId="4" fillId="0" borderId="1"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4" fillId="0" borderId="2" xfId="0" applyFont="true" applyBorder="true" applyAlignment="false" applyProtection="false">
      <alignment horizontal="general"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right"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5" fontId="24"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right" vertical="bottom" textRotation="0" wrapText="false" indent="0" shrinkToFit="false"/>
      <protection locked="true" hidden="false"/>
    </xf>
    <xf numFmtId="164" fontId="24" fillId="0" borderId="2" xfId="0" applyFont="true" applyBorder="true" applyAlignment="true" applyProtection="false">
      <alignment horizontal="right"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tru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5" fontId="0" fillId="0" borderId="1" xfId="0" applyFont="fals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true" applyProtection="false">
      <alignment horizontal="right"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e 2" xfId="21"/>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5B9BD5"/>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E7A1"/>
      <rgbColor rgb="FF99CCFF"/>
      <rgbColor rgb="FFFF99CC"/>
      <rgbColor rgb="FFCC99FF"/>
      <rgbColor rgb="FFFFE699"/>
      <rgbColor rgb="FF4472C4"/>
      <rgbColor rgb="FF33CCCC"/>
      <rgbColor rgb="FF99CC00"/>
      <rgbColor rgb="FFFFC000"/>
      <rgbColor rgb="FFFF9900"/>
      <rgbColor rgb="FFED7D31"/>
      <rgbColor rgb="FF595959"/>
      <rgbColor rgb="FFA5A5A5"/>
      <rgbColor rgb="FF003366"/>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Debito pubblico Trimestrale</a:t>
            </a:r>
          </a:p>
        </c:rich>
      </c:tx>
      <c:layout>
        <c:manualLayout>
          <c:xMode val="edge"/>
          <c:yMode val="edge"/>
          <c:x val="0.321696480092325"/>
          <c:y val="0.0211970074812968"/>
        </c:manualLayout>
      </c:layout>
      <c:overlay val="0"/>
      <c:spPr>
        <a:noFill/>
        <a:ln w="0">
          <a:noFill/>
        </a:ln>
      </c:spPr>
    </c:title>
    <c:autoTitleDeleted val="0"/>
    <c:plotArea>
      <c:lineChart>
        <c:grouping val="standard"/>
        <c:varyColors val="0"/>
        <c:ser>
          <c:idx val="0"/>
          <c:order val="0"/>
          <c:tx>
            <c:strRef>
              <c:f>'DATABASE 1'!$B$19</c:f>
              <c:strCache>
                <c:ptCount val="1"/>
                <c:pt idx="0">
                  <c:v>UNIONE EUROPEA (27 paesi membri)</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1'!$B$20:$B$35</c:f>
              <c:numCache>
                <c:formatCode>General</c:formatCode>
                <c:ptCount val="16"/>
                <c:pt idx="0">
                  <c:v>6712920.8</c:v>
                </c:pt>
                <c:pt idx="1">
                  <c:v>6801412</c:v>
                </c:pt>
                <c:pt idx="2">
                  <c:v>6793490.4</c:v>
                </c:pt>
                <c:pt idx="3">
                  <c:v>6728775.4</c:v>
                </c:pt>
                <c:pt idx="4">
                  <c:v>6865601.1</c:v>
                </c:pt>
                <c:pt idx="5">
                  <c:v>6973257.3</c:v>
                </c:pt>
                <c:pt idx="6">
                  <c:v>7019601.4</c:v>
                </c:pt>
                <c:pt idx="7">
                  <c:v>7249226.5</c:v>
                </c:pt>
                <c:pt idx="8">
                  <c:v>7546208.8</c:v>
                </c:pt>
                <c:pt idx="9">
                  <c:v>7811322.1</c:v>
                </c:pt>
                <c:pt idx="10">
                  <c:v>7973928.9</c:v>
                </c:pt>
                <c:pt idx="11">
                  <c:v>8066255.7</c:v>
                </c:pt>
                <c:pt idx="12">
                  <c:v>8290391.5</c:v>
                </c:pt>
                <c:pt idx="13">
                  <c:v>8476370.6</c:v>
                </c:pt>
                <c:pt idx="14">
                  <c:v>8580057.7</c:v>
                </c:pt>
                <c:pt idx="15">
                  <c:v>8880738.8</c:v>
                </c:pt>
              </c:numCache>
            </c:numRef>
          </c:val>
          <c:smooth val="0"/>
        </c:ser>
        <c:ser>
          <c:idx val="1"/>
          <c:order val="1"/>
          <c:tx>
            <c:strRef>
              <c:f>'DATABASE 1'!$C$19</c:f>
              <c:strCache>
                <c:ptCount val="1"/>
                <c:pt idx="0">
                  <c:v>Germania</c:v>
                </c:pt>
              </c:strCache>
            </c:strRef>
          </c:tx>
          <c:spPr>
            <a:solidFill>
              <a:srgbClr val="ED7D31"/>
            </a:solidFill>
            <a:ln cap="rnd" w="28440">
              <a:solidFill>
                <a:srgbClr val="ED7D31"/>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1'!$C$20:$C$35</c:f>
              <c:numCache>
                <c:formatCode>0.00</c:formatCode>
                <c:ptCount val="16"/>
                <c:pt idx="0">
                  <c:v>1613974.4</c:v>
                </c:pt>
                <c:pt idx="1">
                  <c:v>1632335.5</c:v>
                </c:pt>
                <c:pt idx="2">
                  <c:v>1612995</c:v>
                </c:pt>
                <c:pt idx="3">
                  <c:v>1619064.6</c:v>
                </c:pt>
                <c:pt idx="4">
                  <c:v>1637561.7</c:v>
                </c:pt>
                <c:pt idx="5">
                  <c:v>1673210.6</c:v>
                </c:pt>
                <c:pt idx="6">
                  <c:v>1668645.1</c:v>
                </c:pt>
                <c:pt idx="7">
                  <c:v>1687442</c:v>
                </c:pt>
                <c:pt idx="8">
                  <c:v>1717521.1</c:v>
                </c:pt>
                <c:pt idx="9">
                  <c:v>1783016.1</c:v>
                </c:pt>
                <c:pt idx="10">
                  <c:v>1791086.9</c:v>
                </c:pt>
                <c:pt idx="11">
                  <c:v>1804696</c:v>
                </c:pt>
                <c:pt idx="12">
                  <c:v>1824334.3</c:v>
                </c:pt>
                <c:pt idx="13">
                  <c:v>1865708.4</c:v>
                </c:pt>
                <c:pt idx="14">
                  <c:v>1891869.7</c:v>
                </c:pt>
                <c:pt idx="15">
                  <c:v>2119241.8</c:v>
                </c:pt>
              </c:numCache>
            </c:numRef>
          </c:val>
          <c:smooth val="0"/>
        </c:ser>
        <c:ser>
          <c:idx val="2"/>
          <c:order val="2"/>
          <c:tx>
            <c:strRef>
              <c:f>'DATABASE 1'!$D$19</c:f>
              <c:strCache>
                <c:ptCount val="1"/>
                <c:pt idx="0">
                  <c:v>Spagna</c:v>
                </c:pt>
              </c:strCache>
            </c:strRef>
          </c:tx>
          <c:spPr>
            <a:solidFill>
              <a:srgbClr val="A5A5A5"/>
            </a:solidFill>
            <a:ln cap="rnd" w="28440">
              <a:solidFill>
                <a:srgbClr val="A5A5A5"/>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1'!$D$20:$D$35</c:f>
              <c:numCache>
                <c:formatCode>0.00</c:formatCode>
                <c:ptCount val="16"/>
                <c:pt idx="0">
                  <c:v>398734</c:v>
                </c:pt>
                <c:pt idx="1">
                  <c:v>400012</c:v>
                </c:pt>
                <c:pt idx="2">
                  <c:v>391300</c:v>
                </c:pt>
                <c:pt idx="3">
                  <c:v>384662</c:v>
                </c:pt>
                <c:pt idx="4">
                  <c:v>380270</c:v>
                </c:pt>
                <c:pt idx="5">
                  <c:v>390638</c:v>
                </c:pt>
                <c:pt idx="6">
                  <c:v>403722</c:v>
                </c:pt>
                <c:pt idx="7">
                  <c:v>440621</c:v>
                </c:pt>
                <c:pt idx="8">
                  <c:v>473710</c:v>
                </c:pt>
                <c:pt idx="9">
                  <c:v>511173</c:v>
                </c:pt>
                <c:pt idx="10">
                  <c:v>533678</c:v>
                </c:pt>
                <c:pt idx="11">
                  <c:v>569535</c:v>
                </c:pt>
                <c:pt idx="12">
                  <c:v>586851</c:v>
                </c:pt>
                <c:pt idx="13">
                  <c:v>609032</c:v>
                </c:pt>
                <c:pt idx="14">
                  <c:v>620541</c:v>
                </c:pt>
                <c:pt idx="15">
                  <c:v>649153</c:v>
                </c:pt>
              </c:numCache>
            </c:numRef>
          </c:val>
          <c:smooth val="0"/>
        </c:ser>
        <c:ser>
          <c:idx val="3"/>
          <c:order val="3"/>
          <c:tx>
            <c:strRef>
              <c:f>'DATABASE 1'!$E$19</c:f>
              <c:strCache>
                <c:ptCount val="1"/>
                <c:pt idx="0">
                  <c:v>Francia</c:v>
                </c:pt>
              </c:strCache>
            </c:strRef>
          </c:tx>
          <c:spPr>
            <a:solidFill>
              <a:srgbClr val="FFC000"/>
            </a:solidFill>
            <a:ln cap="rnd" w="28440">
              <a:solidFill>
                <a:srgbClr val="FFC000"/>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1'!$E$20:$E$35</c:f>
              <c:numCache>
                <c:formatCode>0.00</c:formatCode>
                <c:ptCount val="16"/>
                <c:pt idx="0">
                  <c:v>1244508.9</c:v>
                </c:pt>
                <c:pt idx="1">
                  <c:v>1277565</c:v>
                </c:pt>
                <c:pt idx="2">
                  <c:v>1280494.8</c:v>
                </c:pt>
                <c:pt idx="3">
                  <c:v>1268858.7</c:v>
                </c:pt>
                <c:pt idx="4">
                  <c:v>1311092.4</c:v>
                </c:pt>
                <c:pt idx="5">
                  <c:v>1330957.1</c:v>
                </c:pt>
                <c:pt idx="6">
                  <c:v>1348710.1</c:v>
                </c:pt>
                <c:pt idx="7">
                  <c:v>1389401.6</c:v>
                </c:pt>
                <c:pt idx="8">
                  <c:v>1472910.6</c:v>
                </c:pt>
                <c:pt idx="9">
                  <c:v>1561745.9</c:v>
                </c:pt>
                <c:pt idx="10">
                  <c:v>1601408.3</c:v>
                </c:pt>
                <c:pt idx="11">
                  <c:v>1627182.2</c:v>
                </c:pt>
                <c:pt idx="12">
                  <c:v>1672652.4</c:v>
                </c:pt>
                <c:pt idx="13">
                  <c:v>1730926.2</c:v>
                </c:pt>
                <c:pt idx="14">
                  <c:v>1710061.3</c:v>
                </c:pt>
                <c:pt idx="15">
                  <c:v>1722172.2</c:v>
                </c:pt>
              </c:numCache>
            </c:numRef>
          </c:val>
          <c:smooth val="0"/>
        </c:ser>
        <c:ser>
          <c:idx val="4"/>
          <c:order val="4"/>
          <c:tx>
            <c:strRef>
              <c:f>'DATABASE 1'!$F$19</c:f>
              <c:strCache>
                <c:ptCount val="1"/>
                <c:pt idx="0">
                  <c:v>Italia</c:v>
                </c:pt>
              </c:strCache>
            </c:strRef>
          </c:tx>
          <c:spPr>
            <a:solidFill>
              <a:srgbClr val="5B9BD5"/>
            </a:solidFill>
            <a:ln cap="rnd" w="28440">
              <a:solidFill>
                <a:srgbClr val="5B9BD5"/>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1'!$F$20:$F$35</c:f>
              <c:numCache>
                <c:formatCode>0.00</c:formatCode>
                <c:ptCount val="16"/>
                <c:pt idx="0">
                  <c:v>1686726.2</c:v>
                </c:pt>
                <c:pt idx="1">
                  <c:v>1701397.6</c:v>
                </c:pt>
                <c:pt idx="2">
                  <c:v>1700613.2</c:v>
                </c:pt>
                <c:pt idx="3">
                  <c:v>1677724.7</c:v>
                </c:pt>
                <c:pt idx="4">
                  <c:v>1726515.8</c:v>
                </c:pt>
                <c:pt idx="5">
                  <c:v>1729967.5</c:v>
                </c:pt>
                <c:pt idx="6">
                  <c:v>1725417.1</c:v>
                </c:pt>
                <c:pt idx="7">
                  <c:v>1738851.1</c:v>
                </c:pt>
                <c:pt idx="8">
                  <c:v>1817403.7</c:v>
                </c:pt>
                <c:pt idx="9">
                  <c:v>1829545.6</c:v>
                </c:pt>
                <c:pt idx="10">
                  <c:v>1865426.8</c:v>
                </c:pt>
                <c:pt idx="11">
                  <c:v>1839486.4</c:v>
                </c:pt>
                <c:pt idx="12">
                  <c:v>1876411.9</c:v>
                </c:pt>
                <c:pt idx="13">
                  <c:v>1900770.5</c:v>
                </c:pt>
                <c:pt idx="14">
                  <c:v>1921133.5</c:v>
                </c:pt>
                <c:pt idx="15">
                  <c:v>1921100.2</c:v>
                </c:pt>
              </c:numCache>
            </c:numRef>
          </c:val>
          <c:smooth val="0"/>
        </c:ser>
        <c:ser>
          <c:idx val="5"/>
          <c:order val="5"/>
          <c:tx>
            <c:strRef>
              <c:f>'DATABASE 1'!$G$19</c:f>
              <c:strCache>
                <c:ptCount val="1"/>
                <c:pt idx="0">
                  <c:v>Lussemburgo</c:v>
                </c:pt>
              </c:strCache>
            </c:strRef>
          </c:tx>
          <c:spPr>
            <a:solidFill>
              <a:srgbClr val="70AD47"/>
            </a:solidFill>
            <a:ln cap="rnd" w="28440">
              <a:solidFill>
                <a:srgbClr val="70AD47"/>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'DATABASE 1'!$A$20:$A$35</c:f>
              <c:strCache>
                <c:ptCount val="16"/>
                <c:pt idx="0">
                  <c:v>2007-Q1</c:v>
                </c:pt>
                <c:pt idx="1">
                  <c:v>2007-Q2</c:v>
                </c:pt>
                <c:pt idx="2">
                  <c:v>2007-Q3</c:v>
                </c:pt>
                <c:pt idx="3">
                  <c:v>2007-Q4</c:v>
                </c:pt>
                <c:pt idx="4">
                  <c:v>2008-Q1</c:v>
                </c:pt>
                <c:pt idx="5">
                  <c:v>2008-Q2</c:v>
                </c:pt>
                <c:pt idx="6">
                  <c:v>2008-Q3</c:v>
                </c:pt>
                <c:pt idx="7">
                  <c:v>2008-Q4</c:v>
                </c:pt>
                <c:pt idx="8">
                  <c:v>2009-Q1</c:v>
                </c:pt>
                <c:pt idx="9">
                  <c:v>2009-Q2</c:v>
                </c:pt>
                <c:pt idx="10">
                  <c:v>2009-Q3</c:v>
                </c:pt>
                <c:pt idx="11">
                  <c:v>2009-Q4</c:v>
                </c:pt>
                <c:pt idx="12">
                  <c:v>2010-Q1</c:v>
                </c:pt>
                <c:pt idx="13">
                  <c:v>2010-Q2</c:v>
                </c:pt>
                <c:pt idx="14">
                  <c:v>2010-Q3</c:v>
                </c:pt>
                <c:pt idx="15">
                  <c:v>2010-Q4</c:v>
                </c:pt>
              </c:strCache>
            </c:strRef>
          </c:cat>
          <c:val>
            <c:numRef>
              <c:f>'DATABASE 1'!$G$20:$G$35</c:f>
              <c:numCache>
                <c:formatCode>0.00</c:formatCode>
                <c:ptCount val="16"/>
                <c:pt idx="0">
                  <c:v>2822.5</c:v>
                </c:pt>
                <c:pt idx="1">
                  <c:v>3016.2</c:v>
                </c:pt>
                <c:pt idx="2">
                  <c:v>3018.6</c:v>
                </c:pt>
                <c:pt idx="3">
                  <c:v>3045.9</c:v>
                </c:pt>
                <c:pt idx="4">
                  <c:v>3254.5</c:v>
                </c:pt>
                <c:pt idx="5">
                  <c:v>3297.7</c:v>
                </c:pt>
                <c:pt idx="6">
                  <c:v>3304.9</c:v>
                </c:pt>
                <c:pt idx="7">
                  <c:v>5852.4</c:v>
                </c:pt>
                <c:pt idx="8">
                  <c:v>6010.2</c:v>
                </c:pt>
                <c:pt idx="9">
                  <c:v>6040.6</c:v>
                </c:pt>
                <c:pt idx="10">
                  <c:v>6153.7</c:v>
                </c:pt>
                <c:pt idx="11">
                  <c:v>5969</c:v>
                </c:pt>
                <c:pt idx="12">
                  <c:v>6113.2</c:v>
                </c:pt>
                <c:pt idx="13">
                  <c:v>8149.3</c:v>
                </c:pt>
                <c:pt idx="14">
                  <c:v>8206.3</c:v>
                </c:pt>
                <c:pt idx="15">
                  <c:v>8094.5</c:v>
                </c:pt>
              </c:numCache>
            </c:numRef>
          </c:val>
          <c:smooth val="0"/>
        </c:ser>
        <c:hiLowLines>
          <c:spPr>
            <a:ln w="0">
              <a:noFill/>
            </a:ln>
          </c:spPr>
        </c:hiLowLines>
        <c:marker val="0"/>
        <c:axId val="75900512"/>
        <c:axId val="2125168"/>
      </c:lineChart>
      <c:catAx>
        <c:axId val="75900512"/>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2125168"/>
        <c:crosses val="autoZero"/>
        <c:auto val="1"/>
        <c:lblAlgn val="ctr"/>
        <c:lblOffset val="100"/>
        <c:noMultiLvlLbl val="0"/>
      </c:catAx>
      <c:valAx>
        <c:axId val="2125168"/>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75900512"/>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solidFill>
      <a:srgbClr val="FFFFFF"/>
    </a:solidFill>
    <a:ln w="9360">
      <a:solidFill>
        <a:schemeClr val="dk1">
          <a:lumMod val="15000"/>
          <a:lumOff val="85000"/>
        </a:schemeClr>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barChart>
        <c:barDir val="col"/>
        <c:grouping val="clustered"/>
        <c:varyColors val="0"/>
        <c:ser>
          <c:idx val="0"/>
          <c:order val="0"/>
          <c:spPr>
            <a:solidFill>
              <a:srgbClr val="4472C4"/>
            </a:solidFill>
            <a:ln w="19080">
              <a:solidFill>
                <a:srgbClr val="000000"/>
              </a:solidFill>
              <a:round/>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1'!$N$107:$N$114</c:f>
              <c:numCache>
                <c:formatCode>General</c:formatCode>
                <c:ptCount val="8"/>
                <c:pt idx="0">
                  <c:v>0</c:v>
                </c:pt>
                <c:pt idx="1">
                  <c:v>2</c:v>
                </c:pt>
                <c:pt idx="2">
                  <c:v>12</c:v>
                </c:pt>
                <c:pt idx="3">
                  <c:v>1</c:v>
                </c:pt>
                <c:pt idx="4">
                  <c:v>0</c:v>
                </c:pt>
                <c:pt idx="5">
                  <c:v>0</c:v>
                </c:pt>
                <c:pt idx="6">
                  <c:v>1</c:v>
                </c:pt>
                <c:pt idx="7">
                  <c:v>0</c:v>
                </c:pt>
              </c:numCache>
            </c:numRef>
          </c:val>
        </c:ser>
        <c:gapWidth val="0"/>
        <c:overlap val="-27"/>
        <c:axId val="12440119"/>
        <c:axId val="54666886"/>
      </c:barChart>
      <c:catAx>
        <c:axId val="12440119"/>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54666886"/>
        <c:crosses val="autoZero"/>
        <c:auto val="1"/>
        <c:lblAlgn val="ctr"/>
        <c:lblOffset val="100"/>
        <c:noMultiLvlLbl val="0"/>
      </c:catAx>
      <c:valAx>
        <c:axId val="54666886"/>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12440119"/>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layout>
        <c:manualLayout>
          <c:layoutTarget val="inner"/>
          <c:xMode val="edge"/>
          <c:yMode val="edge"/>
          <c:x val="0.103347785912289"/>
          <c:y val="0.194809986471529"/>
          <c:w val="0.896581135830549"/>
          <c:h val="0.72082154716517"/>
        </c:manualLayout>
      </c:layout>
      <c:barChart>
        <c:barDir val="col"/>
        <c:grouping val="clustered"/>
        <c:varyColors val="0"/>
        <c:ser>
          <c:idx val="0"/>
          <c:order val="0"/>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1'!$N$136:$N$143</c:f>
              <c:numCache>
                <c:formatCode>General</c:formatCode>
                <c:ptCount val="8"/>
                <c:pt idx="0">
                  <c:v>1</c:v>
                </c:pt>
                <c:pt idx="1">
                  <c:v>3</c:v>
                </c:pt>
                <c:pt idx="2">
                  <c:v>2</c:v>
                </c:pt>
                <c:pt idx="3">
                  <c:v>2</c:v>
                </c:pt>
                <c:pt idx="4">
                  <c:v>2</c:v>
                </c:pt>
                <c:pt idx="5">
                  <c:v>4</c:v>
                </c:pt>
                <c:pt idx="6">
                  <c:v>0</c:v>
                </c:pt>
                <c:pt idx="7">
                  <c:v>0</c:v>
                </c:pt>
              </c:numCache>
            </c:numRef>
          </c:val>
        </c:ser>
        <c:gapWidth val="219"/>
        <c:overlap val="-27"/>
        <c:axId val="92643442"/>
        <c:axId val="61370433"/>
      </c:barChart>
      <c:catAx>
        <c:axId val="92643442"/>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61370433"/>
        <c:crosses val="autoZero"/>
        <c:auto val="1"/>
        <c:lblAlgn val="ctr"/>
        <c:lblOffset val="100"/>
        <c:noMultiLvlLbl val="0"/>
      </c:catAx>
      <c:valAx>
        <c:axId val="61370433"/>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92643442"/>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barChart>
        <c:barDir val="col"/>
        <c:grouping val="clustered"/>
        <c:varyColors val="0"/>
        <c:ser>
          <c:idx val="0"/>
          <c:order val="0"/>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1'!$N$191:$N$198</c:f>
              <c:numCache>
                <c:formatCode>General</c:formatCode>
                <c:ptCount val="8"/>
                <c:pt idx="0">
                  <c:v>2</c:v>
                </c:pt>
                <c:pt idx="1">
                  <c:v>1</c:v>
                </c:pt>
                <c:pt idx="2">
                  <c:v>5</c:v>
                </c:pt>
                <c:pt idx="3">
                  <c:v>3</c:v>
                </c:pt>
                <c:pt idx="4">
                  <c:v>1</c:v>
                </c:pt>
                <c:pt idx="5">
                  <c:v>2</c:v>
                </c:pt>
                <c:pt idx="6">
                  <c:v>1</c:v>
                </c:pt>
                <c:pt idx="7">
                  <c:v>0</c:v>
                </c:pt>
              </c:numCache>
            </c:numRef>
          </c:val>
        </c:ser>
        <c:gapWidth val="219"/>
        <c:overlap val="-27"/>
        <c:axId val="35821820"/>
        <c:axId val="55776228"/>
      </c:barChart>
      <c:catAx>
        <c:axId val="35821820"/>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55776228"/>
        <c:crosses val="autoZero"/>
        <c:auto val="1"/>
        <c:lblAlgn val="ctr"/>
        <c:lblOffset val="100"/>
        <c:noMultiLvlLbl val="0"/>
      </c:catAx>
      <c:valAx>
        <c:axId val="55776228"/>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5821820"/>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barChart>
        <c:barDir val="col"/>
        <c:grouping val="clustered"/>
        <c:varyColors val="0"/>
        <c:ser>
          <c:idx val="0"/>
          <c:order val="0"/>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1'!$N$219:$N$226</c:f>
              <c:numCache>
                <c:formatCode>General</c:formatCode>
                <c:ptCount val="8"/>
                <c:pt idx="0">
                  <c:v>15</c:v>
                </c:pt>
                <c:pt idx="1">
                  <c:v>0</c:v>
                </c:pt>
                <c:pt idx="2">
                  <c:v>0</c:v>
                </c:pt>
                <c:pt idx="3">
                  <c:v>0</c:v>
                </c:pt>
                <c:pt idx="4">
                  <c:v>0</c:v>
                </c:pt>
                <c:pt idx="5">
                  <c:v>0</c:v>
                </c:pt>
                <c:pt idx="6">
                  <c:v>1</c:v>
                </c:pt>
                <c:pt idx="7">
                  <c:v>0</c:v>
                </c:pt>
              </c:numCache>
            </c:numRef>
          </c:val>
        </c:ser>
        <c:gapWidth val="219"/>
        <c:overlap val="-27"/>
        <c:axId val="67080307"/>
        <c:axId val="96532308"/>
      </c:barChart>
      <c:catAx>
        <c:axId val="67080307"/>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6532308"/>
        <c:crosses val="autoZero"/>
        <c:auto val="1"/>
        <c:lblAlgn val="ctr"/>
        <c:lblOffset val="100"/>
        <c:noMultiLvlLbl val="0"/>
      </c:catAx>
      <c:valAx>
        <c:axId val="96532308"/>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67080307"/>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layout>
        <c:manualLayout>
          <c:layoutTarget val="inner"/>
          <c:xMode val="edge"/>
          <c:yMode val="edge"/>
          <c:x val="0.0650227401932916"/>
          <c:y val="0.148552502453386"/>
          <c:w val="0.915434906196703"/>
          <c:h val="0.720804710500491"/>
        </c:manualLayout>
      </c:layout>
      <c:barChart>
        <c:barDir val="col"/>
        <c:grouping val="clustered"/>
        <c:varyColors val="0"/>
        <c:ser>
          <c:idx val="0"/>
          <c:order val="0"/>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1'!$N$247:$N$254</c:f>
              <c:numCache>
                <c:formatCode>General</c:formatCode>
                <c:ptCount val="8"/>
                <c:pt idx="0">
                  <c:v>1</c:v>
                </c:pt>
                <c:pt idx="1">
                  <c:v>2</c:v>
                </c:pt>
                <c:pt idx="2">
                  <c:v>3</c:v>
                </c:pt>
                <c:pt idx="3">
                  <c:v>2</c:v>
                </c:pt>
                <c:pt idx="4">
                  <c:v>5</c:v>
                </c:pt>
                <c:pt idx="5">
                  <c:v>2</c:v>
                </c:pt>
                <c:pt idx="6">
                  <c:v>1</c:v>
                </c:pt>
                <c:pt idx="7">
                  <c:v>0</c:v>
                </c:pt>
              </c:numCache>
            </c:numRef>
          </c:val>
        </c:ser>
        <c:gapWidth val="219"/>
        <c:overlap val="-27"/>
        <c:axId val="13042572"/>
        <c:axId val="7992670"/>
      </c:barChart>
      <c:catAx>
        <c:axId val="13042572"/>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7992670"/>
        <c:crosses val="autoZero"/>
        <c:auto val="1"/>
        <c:lblAlgn val="ctr"/>
        <c:lblOffset val="100"/>
        <c:noMultiLvlLbl val="0"/>
      </c:catAx>
      <c:valAx>
        <c:axId val="7992670"/>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13042572"/>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Media</a:t>
            </a:r>
            <a:r>
              <a:rPr lang="it-IT" sz="1400" b="0" u="none" strike="noStrike">
                <a:solidFill>
                  <a:schemeClr val="tx1">
                    <a:lumMod val="65000"/>
                    <a:lumOff val="35000"/>
                  </a:schemeClr>
                </a:solidFill>
                <a:uFillTx/>
                <a:latin typeface="Calibri"/>
              </a:rPr>
              <a:t> Mobile</a:t>
            </a:r>
          </a:p>
        </c:rich>
      </c:tx>
      <c:layout>
        <c:manualLayout>
          <c:xMode val="edge"/>
          <c:yMode val="edge"/>
          <c:x val="0.368135960457715"/>
          <c:y val="0.0330736815221555"/>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1'!$C$94:$C$105</c:f>
              <c:numCache>
                <c:formatCode>General</c:formatCode>
                <c:ptCount val="12"/>
                <c:pt idx="0">
                  <c:v>6778234.6875</c:v>
                </c:pt>
                <c:pt idx="1">
                  <c:v>6818800.3875</c:v>
                </c:pt>
                <c:pt idx="2">
                  <c:v>6868544.925</c:v>
                </c:pt>
                <c:pt idx="3">
                  <c:v>6961865.1875</c:v>
                </c:pt>
                <c:pt idx="4">
                  <c:v>7111997.5375</c:v>
                </c:pt>
                <c:pt idx="5">
                  <c:v>7301831.6</c:v>
                </c:pt>
                <c:pt idx="6">
                  <c:v>7525880.6375</c:v>
                </c:pt>
                <c:pt idx="7">
                  <c:v>7747300.225</c:v>
                </c:pt>
                <c:pt idx="8">
                  <c:v>7942451.7125</c:v>
                </c:pt>
                <c:pt idx="9">
                  <c:v>8118605.6125</c:v>
                </c:pt>
                <c:pt idx="10">
                  <c:v>8277502.775</c:v>
                </c:pt>
                <c:pt idx="11">
                  <c:v>8455079.2625</c:v>
                </c:pt>
              </c:numCache>
            </c:numRef>
          </c:val>
          <c:smooth val="0"/>
        </c:ser>
        <c:hiLowLines>
          <c:spPr>
            <a:ln w="0">
              <a:noFill/>
            </a:ln>
          </c:spPr>
        </c:hiLowLines>
        <c:marker val="0"/>
        <c:axId val="40954153"/>
        <c:axId val="74488495"/>
      </c:lineChart>
      <c:catAx>
        <c:axId val="40954153"/>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74488495"/>
        <c:crosses val="autoZero"/>
        <c:auto val="1"/>
        <c:lblAlgn val="ctr"/>
        <c:lblOffset val="100"/>
        <c:noMultiLvlLbl val="0"/>
      </c:catAx>
      <c:valAx>
        <c:axId val="74488495"/>
        <c:scaling>
          <c:orientation val="minMax"/>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40954153"/>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Stima</a:t>
            </a:r>
            <a:r>
              <a:rPr lang="it-IT" sz="1400" b="0" u="none" strike="noStrike">
                <a:solidFill>
                  <a:schemeClr val="tx1">
                    <a:lumMod val="65000"/>
                    <a:lumOff val="35000"/>
                  </a:schemeClr>
                </a:solidFill>
                <a:uFillTx/>
                <a:latin typeface="Calibri"/>
              </a:rPr>
              <a:t> trend cilo- definitivo</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1'!$G$94:$G$109</c:f>
              <c:numCache>
                <c:formatCode>0.00</c:formatCode>
                <c:ptCount val="16"/>
                <c:pt idx="0">
                  <c:v>-907496.515000001</c:v>
                </c:pt>
                <c:pt idx="1">
                  <c:v>23862703.835</c:v>
                </c:pt>
                <c:pt idx="2">
                  <c:v>21979892.395</c:v>
                </c:pt>
                <c:pt idx="3">
                  <c:v>23870115.715</c:v>
                </c:pt>
                <c:pt idx="4">
                  <c:v>25838849.805</c:v>
                </c:pt>
                <c:pt idx="5">
                  <c:v>24061681.985</c:v>
                </c:pt>
                <c:pt idx="6">
                  <c:v>22353173.445</c:v>
                </c:pt>
                <c:pt idx="7">
                  <c:v>21672409.86</c:v>
                </c:pt>
                <c:pt idx="8">
                  <c:v>23799950.8</c:v>
                </c:pt>
                <c:pt idx="9">
                  <c:v>24957878.135</c:v>
                </c:pt>
                <c:pt idx="10">
                  <c:v>23238851.795</c:v>
                </c:pt>
                <c:pt idx="11">
                  <c:v>25251251.065</c:v>
                </c:pt>
                <c:pt idx="12">
                  <c:v>27302801.655</c:v>
                </c:pt>
                <c:pt idx="13">
                  <c:v>25593466.785</c:v>
                </c:pt>
                <c:pt idx="14">
                  <c:v>23949157.745</c:v>
                </c:pt>
                <c:pt idx="15">
                  <c:v>23155431.01</c:v>
                </c:pt>
              </c:numCache>
            </c:numRef>
          </c:val>
          <c:smooth val="0"/>
        </c:ser>
        <c:hiLowLines>
          <c:spPr>
            <a:ln w="0">
              <a:noFill/>
            </a:ln>
          </c:spPr>
        </c:hiLowLines>
        <c:marker val="0"/>
        <c:axId val="83566350"/>
        <c:axId val="48085558"/>
      </c:lineChart>
      <c:catAx>
        <c:axId val="83566350"/>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48085558"/>
        <c:crosses val="autoZero"/>
        <c:auto val="1"/>
        <c:lblAlgn val="ctr"/>
        <c:lblOffset val="100"/>
        <c:noMultiLvlLbl val="0"/>
      </c:catAx>
      <c:valAx>
        <c:axId val="48085558"/>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83566350"/>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rgbClr val="595959"/>
                </a:solidFill>
                <a:uFillTx/>
                <a:latin typeface="Calibri"/>
              </a:rPr>
              <a:t>Stima trend cilo- definitivo</a:t>
            </a:r>
          </a:p>
        </c:rich>
      </c:tx>
      <c:overlay val="0"/>
      <c:spPr>
        <a:noFill/>
        <a:ln w="0">
          <a:noFill/>
        </a:ln>
      </c:spPr>
    </c:title>
    <c:autoTitleDeleted val="0"/>
    <c:plotArea>
      <c:lineChart>
        <c:grouping val="standard"/>
        <c:varyColors val="0"/>
        <c:ser>
          <c:idx val="0"/>
          <c:order val="0"/>
          <c:tx>
            <c:strRef>
              <c:f>'DATABASE 1'!$G$121</c:f>
              <c:strCache>
                <c:ptCount val="1"/>
                <c:pt idx="0">
                  <c:v>Tt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1'!$G$122:$G$137</c:f>
              <c:numCache>
                <c:formatCode>0.00</c:formatCode>
                <c:ptCount val="16"/>
                <c:pt idx="0">
                  <c:v>5993480.934375</c:v>
                </c:pt>
                <c:pt idx="1">
                  <c:v>5776522.99479167</c:v>
                </c:pt>
                <c:pt idx="2">
                  <c:v>5323145.65208333</c:v>
                </c:pt>
                <c:pt idx="3">
                  <c:v>5478010.91041667</c:v>
                </c:pt>
                <c:pt idx="4">
                  <c:v>5635092.47083333</c:v>
                </c:pt>
                <c:pt idx="5">
                  <c:v>5816560.49479167</c:v>
                </c:pt>
                <c:pt idx="6">
                  <c:v>5378113.18541667</c:v>
                </c:pt>
                <c:pt idx="7">
                  <c:v>5546006.54375</c:v>
                </c:pt>
                <c:pt idx="8">
                  <c:v>5721139.90416667</c:v>
                </c:pt>
                <c:pt idx="9">
                  <c:v>5920629.39479167</c:v>
                </c:pt>
                <c:pt idx="10">
                  <c:v>5494613.61875</c:v>
                </c:pt>
                <c:pt idx="11">
                  <c:v>5661509.54375</c:v>
                </c:pt>
                <c:pt idx="12">
                  <c:v>5823393.07083333</c:v>
                </c:pt>
                <c:pt idx="13">
                  <c:v>6017392.16145833</c:v>
                </c:pt>
                <c:pt idx="14">
                  <c:v>5660620.58541667</c:v>
                </c:pt>
                <c:pt idx="15">
                  <c:v>5487756.0796875</c:v>
                </c:pt>
              </c:numCache>
            </c:numRef>
          </c:val>
          <c:smooth val="0"/>
        </c:ser>
        <c:hiLowLines>
          <c:spPr>
            <a:ln w="0">
              <a:noFill/>
            </a:ln>
          </c:spPr>
        </c:hiLowLines>
        <c:marker val="0"/>
        <c:axId val="13197344"/>
        <c:axId val="38124953"/>
      </c:lineChart>
      <c:catAx>
        <c:axId val="13197344"/>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38124953"/>
        <c:crosses val="autoZero"/>
        <c:auto val="1"/>
        <c:lblAlgn val="ctr"/>
        <c:lblOffset val="100"/>
        <c:noMultiLvlLbl val="0"/>
      </c:catAx>
      <c:valAx>
        <c:axId val="38124953"/>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13197344"/>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Media mobile</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1'!$C$150:$C$161</c:f>
              <c:numCache>
                <c:formatCode>General</c:formatCode>
                <c:ptCount val="12"/>
                <c:pt idx="0">
                  <c:v>1422874.75</c:v>
                </c:pt>
                <c:pt idx="1">
                  <c:v>1405067.75</c:v>
                </c:pt>
                <c:pt idx="2">
                  <c:v>1401685.25</c:v>
                </c:pt>
                <c:pt idx="3">
                  <c:v>1422038.625</c:v>
                </c:pt>
                <c:pt idx="4">
                  <c:v>1484329.75</c:v>
                </c:pt>
                <c:pt idx="5">
                  <c:v>1577268.625</c:v>
                </c:pt>
                <c:pt idx="6">
                  <c:v>1694074.75</c:v>
                </c:pt>
                <c:pt idx="7">
                  <c:v>1810063.375</c:v>
                </c:pt>
                <c:pt idx="8">
                  <c:v>1924597.375</c:v>
                </c:pt>
                <c:pt idx="9">
                  <c:v>2021779.5</c:v>
                </c:pt>
                <c:pt idx="10">
                  <c:v>2109824.625</c:v>
                </c:pt>
                <c:pt idx="11">
                  <c:v>2182335.625</c:v>
                </c:pt>
              </c:numCache>
            </c:numRef>
          </c:val>
          <c:smooth val="0"/>
        </c:ser>
        <c:hiLowLines>
          <c:spPr>
            <a:ln w="0">
              <a:noFill/>
            </a:ln>
          </c:spPr>
        </c:hiLowLines>
        <c:marker val="0"/>
        <c:axId val="5068009"/>
        <c:axId val="91943962"/>
      </c:lineChart>
      <c:catAx>
        <c:axId val="5068009"/>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1943962"/>
        <c:crosses val="autoZero"/>
        <c:auto val="1"/>
        <c:lblAlgn val="ctr"/>
        <c:lblOffset val="100"/>
        <c:noMultiLvlLbl val="0"/>
      </c:catAx>
      <c:valAx>
        <c:axId val="91943962"/>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5068009"/>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Media</a:t>
            </a:r>
            <a:r>
              <a:rPr lang="it-IT" sz="1400" b="0" u="none" strike="noStrike">
                <a:solidFill>
                  <a:schemeClr val="tx1">
                    <a:lumMod val="65000"/>
                    <a:lumOff val="35000"/>
                  </a:schemeClr>
                </a:solidFill>
                <a:uFillTx/>
                <a:latin typeface="Calibri"/>
              </a:rPr>
              <a:t> mobile</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1'!$C$178:$C$189</c:f>
              <c:numCache>
                <c:formatCode>General</c:formatCode>
                <c:ptCount val="12"/>
                <c:pt idx="0">
                  <c:v>4613059.5</c:v>
                </c:pt>
                <c:pt idx="1">
                  <c:v>4665598.0375</c:v>
                </c:pt>
                <c:pt idx="2">
                  <c:v>4719744.3625</c:v>
                </c:pt>
                <c:pt idx="3">
                  <c:v>4798864.15</c:v>
                </c:pt>
                <c:pt idx="4">
                  <c:v>4908728.825</c:v>
                </c:pt>
                <c:pt idx="5">
                  <c:v>5071719.0875</c:v>
                </c:pt>
                <c:pt idx="6">
                  <c:v>5298589.1875</c:v>
                </c:pt>
                <c:pt idx="7">
                  <c:v>5534163.375</c:v>
                </c:pt>
                <c:pt idx="8">
                  <c:v>5735873.25</c:v>
                </c:pt>
                <c:pt idx="9">
                  <c:v>5898481.625</c:v>
                </c:pt>
                <c:pt idx="10">
                  <c:v>6045222.6125</c:v>
                </c:pt>
                <c:pt idx="11">
                  <c:v>6142502.525</c:v>
                </c:pt>
              </c:numCache>
            </c:numRef>
          </c:val>
          <c:smooth val="0"/>
        </c:ser>
        <c:hiLowLines>
          <c:spPr>
            <a:ln w="0">
              <a:noFill/>
            </a:ln>
          </c:spPr>
        </c:hiLowLines>
        <c:marker val="0"/>
        <c:axId val="34129987"/>
        <c:axId val="23661666"/>
      </c:lineChart>
      <c:catAx>
        <c:axId val="34129987"/>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23661666"/>
        <c:crosses val="autoZero"/>
        <c:auto val="1"/>
        <c:lblAlgn val="ctr"/>
        <c:lblOffset val="100"/>
        <c:noMultiLvlLbl val="0"/>
      </c:catAx>
      <c:valAx>
        <c:axId val="23661666"/>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4129987"/>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3"/>
  <c:chart>
    <c:title>
      <c:tx>
        <c:rich>
          <a:bodyPr rot="0"/>
          <a:lstStyle/>
          <a:p>
            <a:pPr>
              <a:defRPr sz="1300" b="0" u="none" strike="noStrike">
                <a:uFillTx/>
                <a:latin typeface="Noto Sans"/>
              </a:defRPr>
            </a:pPr>
            <a:r>
              <a:rPr lang="it-IT" sz="1400" b="0" u="none" strike="noStrike">
                <a:solidFill>
                  <a:srgbClr val="595959"/>
                </a:solidFill>
                <a:uFillTx/>
                <a:latin typeface="Calibri"/>
              </a:rPr>
              <a:t>Stima trend cilo- definitivo</a:t>
            </a:r>
          </a:p>
        </c:rich>
      </c:tx>
      <c:overlay val="0"/>
      <c:spPr>
        <a:noFill/>
        <a:ln w="0">
          <a:noFill/>
        </a:ln>
      </c:spPr>
    </c:title>
    <c:autoTitleDeleted val="0"/>
    <c:plotArea>
      <c:lineChart>
        <c:grouping val="standard"/>
        <c:varyColors val="0"/>
        <c:ser>
          <c:idx val="0"/>
          <c:order val="0"/>
          <c:spPr>
            <a:solidFill>
              <a:srgbClr val="4472C4"/>
            </a:solidFill>
            <a:ln w="1908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'DATABASE 1'!$G$178:$G$193</c:f>
              <c:numCache>
                <c:formatCode>0.00</c:formatCode>
                <c:ptCount val="16"/>
                <c:pt idx="0">
                  <c:v>3672424.678125</c:v>
                </c:pt>
                <c:pt idx="1">
                  <c:v>3718688.190625</c:v>
                </c:pt>
                <c:pt idx="2">
                  <c:v>3802756.296875</c:v>
                </c:pt>
                <c:pt idx="3">
                  <c:v>3799089.82395833</c:v>
                </c:pt>
                <c:pt idx="4">
                  <c:v>3783554.16458333</c:v>
                </c:pt>
                <c:pt idx="5">
                  <c:v>3781418.490625</c:v>
                </c:pt>
                <c:pt idx="6">
                  <c:v>3883473.06354167</c:v>
                </c:pt>
                <c:pt idx="7">
                  <c:v>3915948.62395833</c:v>
                </c:pt>
                <c:pt idx="8">
                  <c:v>3954604.13125</c:v>
                </c:pt>
                <c:pt idx="9">
                  <c:v>3996520.22395833</c:v>
                </c:pt>
                <c:pt idx="10">
                  <c:v>4123895.596875</c:v>
                </c:pt>
                <c:pt idx="11">
                  <c:v>4146022.15729167</c:v>
                </c:pt>
                <c:pt idx="12">
                  <c:v>4156838.36458333</c:v>
                </c:pt>
                <c:pt idx="13">
                  <c:v>4155711.92395833</c:v>
                </c:pt>
                <c:pt idx="14">
                  <c:v>4248170.03020833</c:v>
                </c:pt>
                <c:pt idx="15">
                  <c:v>4289966.3765625</c:v>
                </c:pt>
              </c:numCache>
            </c:numRef>
          </c:val>
          <c:smooth val="0"/>
        </c:ser>
        <c:hiLowLines>
          <c:spPr>
            <a:ln w="0">
              <a:noFill/>
            </a:ln>
          </c:spPr>
        </c:hiLowLines>
        <c:marker val="0"/>
        <c:axId val="53635628"/>
        <c:axId val="14758598"/>
      </c:lineChart>
      <c:catAx>
        <c:axId val="53635628"/>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14758598"/>
        <c:crosses val="autoZero"/>
        <c:auto val="1"/>
        <c:lblAlgn val="ctr"/>
        <c:lblOffset val="100"/>
        <c:noMultiLvlLbl val="0"/>
      </c:catAx>
      <c:valAx>
        <c:axId val="14758598"/>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53635628"/>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Media mobile</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1'!$C$206:$C$217</c:f>
              <c:numCache>
                <c:formatCode>General</c:formatCode>
                <c:ptCount val="12"/>
                <c:pt idx="0">
                  <c:v>6138913.075</c:v>
                </c:pt>
                <c:pt idx="1">
                  <c:v>6171798.4375</c:v>
                </c:pt>
                <c:pt idx="2">
                  <c:v>6200191.7375</c:v>
                </c:pt>
                <c:pt idx="3">
                  <c:v>6238119.1375</c:v>
                </c:pt>
                <c:pt idx="4">
                  <c:v>6284669.0625</c:v>
                </c:pt>
                <c:pt idx="5">
                  <c:v>6375348.85</c:v>
                </c:pt>
                <c:pt idx="6">
                  <c:v>6481687.3</c:v>
                </c:pt>
                <c:pt idx="7">
                  <c:v>6611737.45</c:v>
                </c:pt>
                <c:pt idx="8">
                  <c:v>6677712.1375</c:v>
                </c:pt>
                <c:pt idx="9">
                  <c:v>6733694.2125</c:v>
                </c:pt>
                <c:pt idx="10">
                  <c:v>6789523.8875</c:v>
                </c:pt>
                <c:pt idx="11">
                  <c:v>6858196.625</c:v>
                </c:pt>
              </c:numCache>
            </c:numRef>
          </c:val>
          <c:smooth val="0"/>
        </c:ser>
        <c:hiLowLines>
          <c:spPr>
            <a:ln w="0">
              <a:noFill/>
            </a:ln>
          </c:spPr>
        </c:hiLowLines>
        <c:marker val="0"/>
        <c:axId val="84128835"/>
        <c:axId val="16481916"/>
      </c:lineChart>
      <c:catAx>
        <c:axId val="84128835"/>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16481916"/>
        <c:crosses val="autoZero"/>
        <c:auto val="1"/>
        <c:lblAlgn val="ctr"/>
        <c:lblOffset val="100"/>
        <c:noMultiLvlLbl val="0"/>
      </c:catAx>
      <c:valAx>
        <c:axId val="16481916"/>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84128835"/>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3"/>
  <c:chart>
    <c:title>
      <c:tx>
        <c:rich>
          <a:bodyPr rot="0"/>
          <a:lstStyle/>
          <a:p>
            <a:pPr>
              <a:defRPr sz="1300" b="0" u="none" strike="noStrike">
                <a:uFillTx/>
                <a:latin typeface="Noto Sans"/>
              </a:defRPr>
            </a:pPr>
            <a:r>
              <a:rPr lang="it-IT" sz="1400" b="0" u="none" strike="noStrike">
                <a:solidFill>
                  <a:srgbClr val="595959"/>
                </a:solidFill>
                <a:uFillTx/>
                <a:latin typeface="Calibri"/>
              </a:rPr>
              <a:t>Stima trend cilo- definitivo</a:t>
            </a:r>
          </a:p>
        </c:rich>
      </c:tx>
      <c:overlay val="0"/>
      <c:spPr>
        <a:noFill/>
        <a:ln w="0">
          <a:noFill/>
        </a:ln>
      </c:spPr>
    </c:title>
    <c:autoTitleDeleted val="0"/>
    <c:plotArea>
      <c:lineChart>
        <c:grouping val="standard"/>
        <c:varyColors val="0"/>
        <c:ser>
          <c:idx val="0"/>
          <c:order val="0"/>
          <c:spPr>
            <a:solidFill>
              <a:srgbClr val="4472C4"/>
            </a:solidFill>
            <a:ln w="1908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val>
            <c:numRef>
              <c:f>'DATABASE 1'!$G$207:$G$221</c:f>
              <c:numCache>
                <c:formatCode>0.00</c:formatCode>
                <c:ptCount val="15"/>
                <c:pt idx="0">
                  <c:v>4727263.10833333</c:v>
                </c:pt>
                <c:pt idx="1">
                  <c:v>4768983.78645833</c:v>
                </c:pt>
                <c:pt idx="2">
                  <c:v>4766946.21770833</c:v>
                </c:pt>
                <c:pt idx="3">
                  <c:v>4765093.315625</c:v>
                </c:pt>
                <c:pt idx="4">
                  <c:v>4758317.575</c:v>
                </c:pt>
                <c:pt idx="5">
                  <c:v>4807150.51979167</c:v>
                </c:pt>
                <c:pt idx="6">
                  <c:v>4825885.61770833</c:v>
                </c:pt>
                <c:pt idx="7">
                  <c:v>4848957.44895833</c:v>
                </c:pt>
                <c:pt idx="8">
                  <c:v>4868476.14166667</c:v>
                </c:pt>
                <c:pt idx="9">
                  <c:v>4920558.21979167</c:v>
                </c:pt>
                <c:pt idx="10">
                  <c:v>4925770.01770833</c:v>
                </c:pt>
                <c:pt idx="11">
                  <c:v>4925913.58229167</c:v>
                </c:pt>
                <c:pt idx="12">
                  <c:v>4930456.075</c:v>
                </c:pt>
                <c:pt idx="13">
                  <c:v>4990073.353125</c:v>
                </c:pt>
                <c:pt idx="14">
                  <c:v>5019829.7421875</c:v>
                </c:pt>
              </c:numCache>
            </c:numRef>
          </c:val>
          <c:smooth val="0"/>
        </c:ser>
        <c:hiLowLines>
          <c:spPr>
            <a:ln w="0">
              <a:noFill/>
            </a:ln>
          </c:spPr>
        </c:hiLowLines>
        <c:marker val="0"/>
        <c:axId val="33228952"/>
        <c:axId val="87747371"/>
      </c:lineChart>
      <c:catAx>
        <c:axId val="33228952"/>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87747371"/>
        <c:crosses val="autoZero"/>
        <c:auto val="1"/>
        <c:lblAlgn val="ctr"/>
        <c:lblOffset val="100"/>
        <c:noMultiLvlLbl val="0"/>
      </c:catAx>
      <c:valAx>
        <c:axId val="87747371"/>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322895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Media mobile</a:t>
            </a:r>
          </a:p>
        </c:rich>
      </c:tx>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trendline>
            <c:spPr>
              <a:ln cap="rnd" w="19080">
                <a:solidFill>
                  <a:schemeClr val="accent1"/>
                </a:solidFill>
                <a:prstDash val="sysDot"/>
                <a:round/>
              </a:ln>
            </c:spPr>
            <c:trendlineType val="linear"/>
            <c:forward val="0"/>
            <c:backward val="0"/>
            <c:dispRSqr val="0"/>
            <c:dispEq val="0"/>
          </c:trendline>
          <c:val>
            <c:numRef>
              <c:f>'DATABASE 1'!$C$234:$C$245</c:f>
              <c:numCache>
                <c:formatCode>0.00</c:formatCode>
                <c:ptCount val="12"/>
                <c:pt idx="0">
                  <c:v>10898.7625</c:v>
                </c:pt>
                <c:pt idx="1">
                  <c:v>11239.3125</c:v>
                </c:pt>
                <c:pt idx="2">
                  <c:v>11520.5125</c:v>
                </c:pt>
                <c:pt idx="3">
                  <c:v>12111.6</c:v>
                </c:pt>
                <c:pt idx="4">
                  <c:v>14833.525</c:v>
                </c:pt>
                <c:pt idx="5">
                  <c:v>17571.425</c:v>
                </c:pt>
                <c:pt idx="6">
                  <c:v>20324.8625</c:v>
                </c:pt>
                <c:pt idx="7">
                  <c:v>21876.825</c:v>
                </c:pt>
                <c:pt idx="8">
                  <c:v>21932.55</c:v>
                </c:pt>
                <c:pt idx="9">
                  <c:v>22274.8625</c:v>
                </c:pt>
                <c:pt idx="10">
                  <c:v>24334.1375</c:v>
                </c:pt>
                <c:pt idx="11">
                  <c:v>26465.1125</c:v>
                </c:pt>
              </c:numCache>
            </c:numRef>
          </c:val>
          <c:smooth val="0"/>
        </c:ser>
        <c:hiLowLines>
          <c:spPr>
            <a:ln w="0">
              <a:noFill/>
            </a:ln>
          </c:spPr>
        </c:hiLowLines>
        <c:marker val="0"/>
        <c:axId val="23082521"/>
        <c:axId val="21787614"/>
      </c:lineChart>
      <c:catAx>
        <c:axId val="23082521"/>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21787614"/>
        <c:crosses val="autoZero"/>
        <c:auto val="1"/>
        <c:lblAlgn val="ctr"/>
        <c:lblOffset val="100"/>
        <c:noMultiLvlLbl val="0"/>
      </c:catAx>
      <c:valAx>
        <c:axId val="21787614"/>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23082521"/>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Stima</a:t>
            </a:r>
            <a:r>
              <a:rPr lang="it-IT" sz="1400" b="0" u="none" strike="noStrike">
                <a:solidFill>
                  <a:schemeClr val="tx1">
                    <a:lumMod val="65000"/>
                    <a:lumOff val="35000"/>
                  </a:schemeClr>
                </a:solidFill>
                <a:uFillTx/>
                <a:latin typeface="Calibri"/>
              </a:rPr>
              <a:t> trend ciclo- definitivo</a:t>
            </a:r>
          </a:p>
        </c:rich>
      </c:tx>
      <c:overlay val="0"/>
      <c:spPr>
        <a:noFill/>
        <a:ln w="0">
          <a:noFill/>
        </a:ln>
      </c:spPr>
    </c:title>
    <c:autoTitleDeleted val="0"/>
    <c:plotArea>
      <c:lineChart>
        <c:grouping val="standard"/>
        <c:varyColors val="0"/>
        <c:ser>
          <c:idx val="0"/>
          <c:order val="0"/>
          <c:tx>
            <c:strRef>
              <c:f>'DATABASE 1'!$G$233</c:f>
              <c:strCache>
                <c:ptCount val="1"/>
                <c:pt idx="0">
                  <c:v>Tt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1'!$G$234:$G$249</c:f>
              <c:numCache>
                <c:formatCode>0.00</c:formatCode>
                <c:ptCount val="16"/>
                <c:pt idx="0">
                  <c:v>10425.1296875</c:v>
                </c:pt>
                <c:pt idx="1">
                  <c:v>10914.2875</c:v>
                </c:pt>
                <c:pt idx="2">
                  <c:v>11657.6958333333</c:v>
                </c:pt>
                <c:pt idx="3">
                  <c:v>11644.015625</c:v>
                </c:pt>
                <c:pt idx="4">
                  <c:v>11327.53125</c:v>
                </c:pt>
                <c:pt idx="5">
                  <c:v>11247.5541666667</c:v>
                </c:pt>
                <c:pt idx="6">
                  <c:v>12782.4625</c:v>
                </c:pt>
                <c:pt idx="7">
                  <c:v>13593.515625</c:v>
                </c:pt>
                <c:pt idx="8">
                  <c:v>14095.8979166667</c:v>
                </c:pt>
                <c:pt idx="9">
                  <c:v>14030.0208333333</c:v>
                </c:pt>
                <c:pt idx="10">
                  <c:v>14685.2291666667</c:v>
                </c:pt>
                <c:pt idx="11">
                  <c:v>14616.315625</c:v>
                </c:pt>
                <c:pt idx="12">
                  <c:v>14871.9979166667</c:v>
                </c:pt>
                <c:pt idx="13">
                  <c:v>15451.4541666667</c:v>
                </c:pt>
                <c:pt idx="14">
                  <c:v>16780.8291666667</c:v>
                </c:pt>
                <c:pt idx="15">
                  <c:v>17273.86875</c:v>
                </c:pt>
              </c:numCache>
            </c:numRef>
          </c:val>
          <c:smooth val="0"/>
        </c:ser>
        <c:hiLowLines>
          <c:spPr>
            <a:ln w="0">
              <a:noFill/>
            </a:ln>
          </c:spPr>
        </c:hiLowLines>
        <c:marker val="0"/>
        <c:axId val="92983285"/>
        <c:axId val="65829322"/>
      </c:lineChart>
      <c:catAx>
        <c:axId val="92983285"/>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65829322"/>
        <c:crosses val="autoZero"/>
        <c:auto val="1"/>
        <c:lblAlgn val="ctr"/>
        <c:lblOffset val="100"/>
        <c:noMultiLvlLbl val="0"/>
      </c:catAx>
      <c:valAx>
        <c:axId val="65829322"/>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92983285"/>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chemeClr val="tx1">
                    <a:lumMod val="65000"/>
                    <a:lumOff val="35000"/>
                  </a:schemeClr>
                </a:solidFill>
                <a:uFillTx/>
                <a:latin typeface="Calibri"/>
              </a:rPr>
              <a:t>Stima</a:t>
            </a:r>
            <a:r>
              <a:rPr lang="it-IT" sz="1400" b="0" u="none" strike="noStrike">
                <a:solidFill>
                  <a:schemeClr val="tx1">
                    <a:lumMod val="65000"/>
                    <a:lumOff val="35000"/>
                  </a:schemeClr>
                </a:solidFill>
                <a:uFillTx/>
                <a:latin typeface="Calibri"/>
              </a:rPr>
              <a:t> dell'intera componente sistematica</a:t>
            </a:r>
          </a:p>
        </c:rich>
      </c:tx>
      <c:overlay val="0"/>
      <c:spPr>
        <a:noFill/>
        <a:ln w="0">
          <a:noFill/>
        </a:ln>
      </c:spPr>
    </c:title>
    <c:autoTitleDeleted val="0"/>
    <c:plotArea>
      <c:lineChart>
        <c:grouping val="standard"/>
        <c:varyColors val="0"/>
        <c:ser>
          <c:idx val="0"/>
          <c:order val="0"/>
          <c:tx>
            <c:strRef>
              <c:f>'DATABASE 1'!$B$93</c:f>
              <c:strCache>
                <c:ptCount val="1"/>
                <c:pt idx="0">
                  <c:v>Yt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1'!$B$94:$B$109</c:f>
              <c:numCache>
                <c:formatCode>0.00</c:formatCode>
                <c:ptCount val="16"/>
                <c:pt idx="0">
                  <c:v>6712920.8</c:v>
                </c:pt>
                <c:pt idx="1">
                  <c:v>6801412</c:v>
                </c:pt>
                <c:pt idx="2">
                  <c:v>6793490.4</c:v>
                </c:pt>
                <c:pt idx="3">
                  <c:v>6728775.4</c:v>
                </c:pt>
                <c:pt idx="4">
                  <c:v>6865601.1</c:v>
                </c:pt>
                <c:pt idx="5">
                  <c:v>6973257.3</c:v>
                </c:pt>
                <c:pt idx="6">
                  <c:v>7019601.4</c:v>
                </c:pt>
                <c:pt idx="7">
                  <c:v>7249226.5</c:v>
                </c:pt>
                <c:pt idx="8">
                  <c:v>7546208.8</c:v>
                </c:pt>
                <c:pt idx="9">
                  <c:v>7811322.1</c:v>
                </c:pt>
                <c:pt idx="10">
                  <c:v>7973928.9</c:v>
                </c:pt>
                <c:pt idx="11">
                  <c:v>8066255.7</c:v>
                </c:pt>
                <c:pt idx="12">
                  <c:v>8290391.5</c:v>
                </c:pt>
                <c:pt idx="13">
                  <c:v>8476370.6</c:v>
                </c:pt>
                <c:pt idx="14">
                  <c:v>8580057.7</c:v>
                </c:pt>
                <c:pt idx="15">
                  <c:v>8880738.8</c:v>
                </c:pt>
              </c:numCache>
            </c:numRef>
          </c:val>
          <c:smooth val="0"/>
        </c:ser>
        <c:ser>
          <c:idx val="1"/>
          <c:order val="1"/>
          <c:tx>
            <c:strRef>
              <c:f>'DATABASE 1'!$H$93</c:f>
              <c:strCache>
                <c:ptCount val="1"/>
                <c:pt idx="0">
                  <c:v>Yt*(st+Tt)</c:v>
                </c:pt>
              </c:strCache>
            </c:strRef>
          </c:tx>
          <c:spPr>
            <a:solidFill>
              <a:srgbClr val="ED7D31"/>
            </a:solidFill>
            <a:ln cap="rnd" w="28440">
              <a:solidFill>
                <a:srgbClr val="ED7D31"/>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'DATABASE 1'!$H$94:$H$109</c:f>
              <c:numCache>
                <c:formatCode>0.00</c:formatCode>
                <c:ptCount val="16"/>
                <c:pt idx="0">
                  <c:v>-20778659.235</c:v>
                </c:pt>
                <c:pt idx="1">
                  <c:v>5895025.345</c:v>
                </c:pt>
                <c:pt idx="2">
                  <c:v>5817065.615</c:v>
                </c:pt>
                <c:pt idx="3">
                  <c:v>9595423.505</c:v>
                </c:pt>
                <c:pt idx="4">
                  <c:v>5967687.085</c:v>
                </c:pt>
                <c:pt idx="5">
                  <c:v>6094003.495</c:v>
                </c:pt>
                <c:pt idx="6">
                  <c:v>6190346.665</c:v>
                </c:pt>
                <c:pt idx="7">
                  <c:v>7397717.65</c:v>
                </c:pt>
                <c:pt idx="8">
                  <c:v>3928788.08</c:v>
                </c:pt>
                <c:pt idx="9">
                  <c:v>6990199.645</c:v>
                </c:pt>
                <c:pt idx="10">
                  <c:v>7076025.015</c:v>
                </c:pt>
                <c:pt idx="11">
                  <c:v>10976558.855</c:v>
                </c:pt>
                <c:pt idx="12">
                  <c:v>7431638.935</c:v>
                </c:pt>
                <c:pt idx="13">
                  <c:v>7625788.295</c:v>
                </c:pt>
                <c:pt idx="14">
                  <c:v>7786330.965</c:v>
                </c:pt>
                <c:pt idx="15">
                  <c:v>8880738.8</c:v>
                </c:pt>
              </c:numCache>
            </c:numRef>
          </c:val>
          <c:smooth val="0"/>
        </c:ser>
        <c:hiLowLines>
          <c:spPr>
            <a:ln w="0">
              <a:noFill/>
            </a:ln>
          </c:spPr>
        </c:hiLowLines>
        <c:marker val="0"/>
        <c:axId val="67729461"/>
        <c:axId val="18391957"/>
      </c:lineChart>
      <c:catAx>
        <c:axId val="67729461"/>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18391957"/>
        <c:crosses val="autoZero"/>
        <c:auto val="1"/>
        <c:lblAlgn val="ctr"/>
        <c:lblOffset val="100"/>
        <c:noMultiLvlLbl val="0"/>
      </c:catAx>
      <c:valAx>
        <c:axId val="18391957"/>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67729461"/>
        <c:crosses val="autoZero"/>
        <c:crossBetween val="between"/>
      </c:valAx>
      <c:spPr>
        <a:no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solidFill>
      <a:srgbClr val="FFFFFF"/>
    </a:solidFill>
    <a:ln w="9360">
      <a:solidFill>
        <a:schemeClr val="dk1">
          <a:lumMod val="15000"/>
          <a:lumOff val="85000"/>
        </a:schemeClr>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layout>
        <c:manualLayout>
          <c:layoutTarget val="inner"/>
          <c:xMode val="edge"/>
          <c:yMode val="edge"/>
          <c:x val="0.0649707803368855"/>
          <c:y val="0.148521004225702"/>
          <c:w val="0.915434857339292"/>
          <c:h val="0.720855083271191"/>
        </c:manualLayout>
      </c:layout>
      <c:barChart>
        <c:barDir val="col"/>
        <c:grouping val="clustered"/>
        <c:varyColors val="0"/>
        <c:axId val="11552541"/>
        <c:axId val="73060153"/>
      </c:barChart>
      <c:catAx>
        <c:axId val="11552541"/>
        <c:scaling>
          <c:orientation val="minMax"/>
        </c:scaling>
        <c:delete val="0"/>
        <c:axPos val="b"/>
        <c:numFmt formatCode="General" sourceLinked="1"/>
        <c:tickLblPos val="none"/>
        <c:spPr>
          <a:ln w="0">
            <a:noFill/>
          </a:ln>
        </c:spPr>
        <c:txPr>
          <a:bodyPr/>
          <a:lstStyle/>
          <a:p>
            <a:pPr>
              <a:defRPr sz="1800" b="0"/>
            </a:pPr>
          </a:p>
        </c:txPr>
        <c:crossAx val="73060153"/>
        <c:auto val="1"/>
        <c:lblAlgn val="ctr"/>
        <c:lblOffset val="100"/>
        <c:noMultiLvlLbl val="0"/>
      </c:catAx>
      <c:valAx>
        <c:axId val="73060153"/>
        <c:scaling>
          <c:orientation val="minMax"/>
        </c:scaling>
        <c:delete val="0"/>
        <c:axPos val="l"/>
        <c:numFmt formatCode="General" sourceLinked="1"/>
        <c:tickLblPos val="none"/>
        <c:spPr>
          <a:ln w="0">
            <a:noFill/>
          </a:ln>
        </c:spPr>
        <c:txPr>
          <a:bodyPr/>
          <a:lstStyle/>
          <a:p>
            <a:pPr>
              <a:defRPr sz="1800" b="0"/>
            </a:pPr>
          </a:p>
        </c:txPr>
        <c:crossAx val="11552541"/>
        <c:crossBetween val="midCat"/>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Residui</a:t>
            </a:r>
          </a:p>
        </c:rich>
      </c:tx>
      <c:overlay val="0"/>
      <c:spPr>
        <a:noFill/>
        <a:ln w="0">
          <a:noFill/>
        </a:ln>
      </c:spPr>
    </c:title>
    <c:autoTitleDeleted val="0"/>
    <c:plotArea>
      <c:barChart>
        <c:barDir val="col"/>
        <c:grouping val="clustered"/>
        <c:varyColors val="0"/>
        <c:ser>
          <c:idx val="0"/>
          <c:order val="0"/>
          <c:tx>
            <c:strRef>
              <c:f>'DATABASE 1'!$N$162</c:f>
              <c:strCache>
                <c:ptCount val="1"/>
                <c:pt idx="0">
                  <c:v>f(Rst)</c:v>
                </c:pt>
              </c:strCache>
            </c:strRef>
          </c:tx>
          <c:spPr>
            <a:solidFill>
              <a:srgbClr val="4472C4"/>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'DATABASE 1'!$N$163:$N$170</c:f>
              <c:numCache>
                <c:formatCode>General</c:formatCode>
                <c:ptCount val="8"/>
                <c:pt idx="0">
                  <c:v>1</c:v>
                </c:pt>
                <c:pt idx="1">
                  <c:v>0</c:v>
                </c:pt>
                <c:pt idx="2">
                  <c:v>8</c:v>
                </c:pt>
                <c:pt idx="3">
                  <c:v>1</c:v>
                </c:pt>
                <c:pt idx="4">
                  <c:v>1</c:v>
                </c:pt>
                <c:pt idx="5">
                  <c:v>2</c:v>
                </c:pt>
                <c:pt idx="6">
                  <c:v>1</c:v>
                </c:pt>
                <c:pt idx="7">
                  <c:v>0</c:v>
                </c:pt>
              </c:numCache>
            </c:numRef>
          </c:val>
        </c:ser>
        <c:gapWidth val="219"/>
        <c:overlap val="-27"/>
        <c:axId val="89153013"/>
        <c:axId val="73465617"/>
      </c:barChart>
      <c:catAx>
        <c:axId val="89153013"/>
        <c:scaling>
          <c:orientation val="minMax"/>
        </c:scaling>
        <c:delete val="0"/>
        <c:axPos val="b"/>
        <c:numFmt formatCode="General" sourceLinked="1"/>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73465617"/>
        <c:crosses val="autoZero"/>
        <c:auto val="1"/>
        <c:lblAlgn val="ctr"/>
        <c:lblOffset val="100"/>
        <c:noMultiLvlLbl val="0"/>
      </c:catAx>
      <c:valAx>
        <c:axId val="73465617"/>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89153013"/>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en-US" sz="1400" b="0" u="none" strike="noStrike">
                <a:solidFill>
                  <a:schemeClr val="tx1">
                    <a:lumMod val="65000"/>
                    <a:lumOff val="35000"/>
                  </a:schemeClr>
                </a:solidFill>
                <a:uFillTx/>
                <a:latin typeface="Calibri"/>
              </a:rPr>
              <a:t>Media mobile</a:t>
            </a:r>
          </a:p>
        </c:rich>
      </c:tx>
      <c:overlay val="0"/>
      <c:spPr>
        <a:noFill/>
        <a:ln w="0">
          <a:noFill/>
        </a:ln>
      </c:spPr>
    </c:title>
    <c:autoTitleDeleted val="0"/>
    <c:plotArea>
      <c:lineChart>
        <c:grouping val="standard"/>
        <c:varyColors val="0"/>
        <c:ser>
          <c:idx val="0"/>
          <c:order val="0"/>
          <c:tx>
            <c:strRef>
              <c:f>'DATABASE 1'!$C$149</c:f>
              <c:strCache>
                <c:ptCount val="1"/>
                <c:pt idx="0">
                  <c:v>MMt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val>
            <c:numRef>
              <c:f>'DATABASE 1'!$C$150:$C$161</c:f>
              <c:numCache>
                <c:formatCode>General</c:formatCode>
                <c:ptCount val="12"/>
                <c:pt idx="0">
                  <c:v>1422874.75</c:v>
                </c:pt>
                <c:pt idx="1">
                  <c:v>1405067.75</c:v>
                </c:pt>
                <c:pt idx="2">
                  <c:v>1401685.25</c:v>
                </c:pt>
                <c:pt idx="3">
                  <c:v>1422038.625</c:v>
                </c:pt>
                <c:pt idx="4">
                  <c:v>1484329.75</c:v>
                </c:pt>
                <c:pt idx="5">
                  <c:v>1577268.625</c:v>
                </c:pt>
                <c:pt idx="6">
                  <c:v>1694074.75</c:v>
                </c:pt>
                <c:pt idx="7">
                  <c:v>1810063.375</c:v>
                </c:pt>
                <c:pt idx="8">
                  <c:v>1924597.375</c:v>
                </c:pt>
                <c:pt idx="9">
                  <c:v>2021779.5</c:v>
                </c:pt>
                <c:pt idx="10">
                  <c:v>2109824.625</c:v>
                </c:pt>
                <c:pt idx="11">
                  <c:v>2182335.625</c:v>
                </c:pt>
              </c:numCache>
            </c:numRef>
          </c:val>
          <c:smooth val="0"/>
        </c:ser>
        <c:hiLowLines>
          <c:spPr>
            <a:ln w="0">
              <a:noFill/>
            </a:ln>
          </c:spPr>
        </c:hiLowLines>
        <c:marker val="0"/>
        <c:axId val="30609543"/>
        <c:axId val="8758561"/>
      </c:lineChart>
      <c:catAx>
        <c:axId val="30609543"/>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8758561"/>
        <c:crosses val="autoZero"/>
        <c:auto val="1"/>
        <c:lblAlgn val="ctr"/>
        <c:lblOffset val="100"/>
        <c:noMultiLvlLbl val="0"/>
      </c:catAx>
      <c:valAx>
        <c:axId val="8758561"/>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30609543"/>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Noto Sans"/>
              </a:defRPr>
            </a:pPr>
            <a:r>
              <a:rPr lang="it-IT" sz="1400" b="0" u="none" strike="noStrike">
                <a:solidFill>
                  <a:srgbClr val="595959"/>
                </a:solidFill>
                <a:uFillTx/>
                <a:latin typeface="Calibri"/>
              </a:rPr>
              <a:t>Stima trend cilo- definitivo</a:t>
            </a:r>
          </a:p>
        </c:rich>
      </c:tx>
      <c:overlay val="0"/>
      <c:spPr>
        <a:noFill/>
        <a:ln w="0">
          <a:noFill/>
        </a:ln>
      </c:spPr>
    </c:title>
    <c:autoTitleDeleted val="0"/>
    <c:plotArea>
      <c:lineChart>
        <c:grouping val="standard"/>
        <c:varyColors val="0"/>
        <c:ser>
          <c:idx val="0"/>
          <c:order val="0"/>
          <c:tx>
            <c:strRef>
              <c:f>'DATABASE 1'!$G$149</c:f>
              <c:strCache>
                <c:ptCount val="1"/>
                <c:pt idx="0">
                  <c:v>Tt</c:v>
                </c:pt>
              </c:strCache>
            </c:strRef>
          </c:tx>
          <c:spPr>
            <a:solidFill>
              <a:srgbClr val="4472C4"/>
            </a:solidFill>
            <a:ln cap="rnd" w="28440">
              <a:solidFill>
                <a:srgbClr val="4472C4"/>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trendline>
            <c:spPr>
              <a:ln cap="rnd" w="19080">
                <a:solidFill>
                  <a:schemeClr val="accent1"/>
                </a:solidFill>
                <a:prstDash val="sysDot"/>
                <a:round/>
              </a:ln>
            </c:spPr>
            <c:trendlineType val="linear"/>
            <c:forward val="0"/>
            <c:backward val="0"/>
            <c:dispRSqr val="0"/>
            <c:dispEq val="0"/>
          </c:trendline>
          <c:val>
            <c:numRef>
              <c:f>'DATABASE 1'!$G$150:$G$165</c:f>
              <c:numCache>
                <c:formatCode>0.00</c:formatCode>
                <c:ptCount val="16"/>
                <c:pt idx="0">
                  <c:v>1160060.21875</c:v>
                </c:pt>
                <c:pt idx="1">
                  <c:v>1175168.78125</c:v>
                </c:pt>
                <c:pt idx="2">
                  <c:v>1201997.26041667</c:v>
                </c:pt>
                <c:pt idx="3">
                  <c:v>1186997.92708333</c:v>
                </c:pt>
                <c:pt idx="4">
                  <c:v>1173187.03125</c:v>
                </c:pt>
                <c:pt idx="5">
                  <c:v>1170030.11458333</c:v>
                </c:pt>
                <c:pt idx="6">
                  <c:v>1221666.26041667</c:v>
                </c:pt>
                <c:pt idx="7">
                  <c:v>1240938.26041667</c:v>
                </c:pt>
                <c:pt idx="8">
                  <c:v>1263165.03125</c:v>
                </c:pt>
                <c:pt idx="9">
                  <c:v>1284673.78125</c:v>
                </c:pt>
                <c:pt idx="10">
                  <c:v>1348134.59375</c:v>
                </c:pt>
                <c:pt idx="11">
                  <c:v>1364941.92708333</c:v>
                </c:pt>
                <c:pt idx="12">
                  <c:v>1376469.69791667</c:v>
                </c:pt>
                <c:pt idx="13">
                  <c:v>1383961.44791667</c:v>
                </c:pt>
                <c:pt idx="14">
                  <c:v>1436247.92708333</c:v>
                </c:pt>
                <c:pt idx="15">
                  <c:v>1463198.28125</c:v>
                </c:pt>
              </c:numCache>
            </c:numRef>
          </c:val>
          <c:smooth val="0"/>
        </c:ser>
        <c:hiLowLines>
          <c:spPr>
            <a:ln w="0">
              <a:noFill/>
            </a:ln>
          </c:spPr>
        </c:hiLowLines>
        <c:marker val="0"/>
        <c:axId val="40291189"/>
        <c:axId val="93685763"/>
      </c:lineChart>
      <c:catAx>
        <c:axId val="40291189"/>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p>
        </c:txPr>
        <c:crossAx val="93685763"/>
        <c:crosses val="autoZero"/>
        <c:auto val="1"/>
        <c:lblAlgn val="ctr"/>
        <c:lblOffset val="100"/>
        <c:noMultiLvlLbl val="0"/>
      </c:catAx>
      <c:valAx>
        <c:axId val="93685763"/>
        <c:scaling>
          <c:orientation val="minMax"/>
        </c:scaling>
        <c:delete val="0"/>
        <c:axPos val="l"/>
        <c:majorGridlines>
          <c:spPr>
            <a:ln w="9360">
              <a:solidFill>
                <a:schemeClr val="dk1">
                  <a:lumMod val="15000"/>
                  <a:lumOff val="85000"/>
                </a:schemeClr>
              </a:solidFill>
              <a:round/>
            </a:ln>
          </c:spPr>
        </c:majorGridlines>
        <c:numFmt formatCode="0.00" sourceLinked="0"/>
        <c:majorTickMark val="none"/>
        <c:minorTickMark val="none"/>
        <c:tickLblPos val="nextTo"/>
        <c:spPr>
          <a:ln w="6480">
            <a:noFill/>
          </a:ln>
        </c:spPr>
        <c:txPr>
          <a:bodyPr/>
          <a:lstStyle/>
          <a:p>
            <a:pPr>
              <a:defRPr sz="900" b="0" u="none" strike="noStrike">
                <a:solidFill>
                  <a:schemeClr val="tx1">
                    <a:lumMod val="65000"/>
                    <a:lumOff val="35000"/>
                  </a:schemeClr>
                </a:solidFill>
                <a:uFillTx/>
                <a:latin typeface="Calibri"/>
              </a:defRPr>
            </a:pPr>
          </a:p>
        </c:txPr>
        <c:crossAx val="40291189"/>
        <c:crosses val="autoZero"/>
        <c:crossBetween val="between"/>
      </c:valAx>
      <c:spPr>
        <a:noFill/>
        <a:ln w="0">
          <a:noFill/>
        </a:ln>
      </c:spPr>
    </c:plotArea>
    <c:plotVisOnly val="1"/>
    <c:dispBlanksAs val="gap"/>
  </c:chart>
  <c:spPr>
    <a:solidFill>
      <a:srgbClr val="FFFFFF"/>
    </a:solidFill>
    <a:ln w="9360">
      <a:solidFill>
        <a:schemeClr val="dk1">
          <a:lumMod val="15000"/>
          <a:lumOff val="85000"/>
        </a:schemeClr>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Relationship Id="rId21" Type="http://schemas.openxmlformats.org/officeDocument/2006/relationships/chart" Target="../charts/chart2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200160</xdr:colOff>
      <xdr:row>7</xdr:row>
      <xdr:rowOff>133200</xdr:rowOff>
    </xdr:from>
    <xdr:to>
      <xdr:col>16</xdr:col>
      <xdr:colOff>266400</xdr:colOff>
      <xdr:row>24</xdr:row>
      <xdr:rowOff>9000</xdr:rowOff>
    </xdr:to>
    <xdr:sp>
      <xdr:nvSpPr>
        <xdr:cNvPr id="1" name="CasellaDiTesto 1"/>
        <xdr:cNvSpPr/>
      </xdr:nvSpPr>
      <xdr:spPr>
        <a:xfrm>
          <a:off x="200160" y="1484640"/>
          <a:ext cx="13506120" cy="3114000"/>
        </a:xfrm>
        <a:prstGeom prst="rect">
          <a:avLst/>
        </a:prstGeom>
        <a:solidFill>
          <a:srgbClr val="FFE7A1"/>
        </a:solidFill>
        <a:ln w="9525">
          <a:solidFill>
            <a:srgbClr val="FFFFFF">
              <a:shade val="50000"/>
            </a:srgbClr>
          </a:solidFill>
          <a:round/>
        </a:ln>
      </xdr:spPr>
      <xdr:style>
        <a:lnRef idx="0"/>
        <a:fillRef idx="0"/>
        <a:effectRef idx="0"/>
        <a:fontRef idx="minor"/>
      </xdr:style>
      <xdr:txBody>
        <a:bodyPr horzOverflow="clip" vertOverflow="clip" anchor="t">
          <a:noAutofit/>
        </a:bodyPr>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effectLst/>
              <a:uFillTx/>
              <a:latin typeface="Calibri"/>
              <a:ea typeface="Calibri"/>
            </a:rPr>
            <a:t>Il debito pubblico è l’ammontare totale delle obbligazioni finanziarie contratte dallo Stato e dalle altre amministrazioni pubbliche (enti locali, enti di previdenza sociale) per coprire il disavanzo tra le entrate e le spese pubbliche. Questo debito può essere interno, se i creditori sono residenti nel Paese, o esterno, se i creditori sono stranieri</a:t>
          </a:r>
          <a:r>
            <a:rPr lang="en-US" sz="1100" b="0" u="none" strike="noStrike">
              <a:solidFill>
                <a:srgbClr val="000000"/>
              </a:solidFill>
              <a:effectLst/>
              <a:uFillTx/>
              <a:latin typeface="Calibri"/>
              <a:ea typeface="Calibri"/>
            </a:rPr>
            <a:t>;</a:t>
          </a:r>
          <a:r>
            <a:rPr lang="en-US" sz="1100" b="0" u="none" strike="noStrike">
              <a:effectLst/>
              <a:uFillTx/>
              <a:latin typeface="Calibri"/>
              <a:ea typeface="Calibri"/>
            </a:rPr>
            <a:t> la periodicità trimestrale consente di catturare variazioni stagionali </a:t>
          </a:r>
          <a:r>
            <a:rPr lang="en-US" sz="1100" b="0" u="none" strike="noStrike">
              <a:solidFill>
                <a:srgbClr val="000000"/>
              </a:solidFill>
              <a:effectLst/>
              <a:uFillTx/>
              <a:latin typeface="Calibri"/>
              <a:ea typeface="Calibri"/>
            </a:rPr>
            <a:t>e cioè quei cambiamenti periodici e ricorrenti in determinati periodi di tempo dell'anno inlfuenzati da fattori legati al calendario econmico e amministrativo, ciò consente  </a:t>
          </a:r>
          <a:r>
            <a:rPr lang="en-US" sz="1100" b="0" u="none" strike="noStrike">
              <a:effectLst/>
              <a:uFillTx/>
              <a:latin typeface="Calibri"/>
              <a:ea typeface="Calibri"/>
            </a:rPr>
            <a:t>rispondere rapidamente a dinamiche economiche in evoluzione.</a:t>
          </a:r>
          <a:endParaRPr lang="it-IT" sz="1100" b="0" u="none" strike="noStrike">
            <a:effectLst/>
            <a:uFillTx/>
            <a:latin typeface="Noto Serif"/>
          </a:endParaRPr>
        </a:p>
        <a:p>
          <a:pPr>
            <a:lnSpc>
              <a:spcPct val="100000"/>
            </a:lnSpc>
            <a:tabLst>
              <a:tab pos="0" algn="l"/>
            </a:tabLst>
          </a:pPr>
          <a:r>
            <a:rPr lang="en-US" sz="1100" b="0" u="none" strike="noStrike">
              <a:effectLst/>
              <a:uFillTx/>
              <a:latin typeface="Calibri"/>
              <a:ea typeface="Calibri"/>
            </a:rPr>
            <a:t>Il debito nasce quando le entrate pubbliche non sono sufficienti a coprire le spese pubbliche (per esempio sanità, istruzione, infrastrutture e pensioni). Questo genera un disavanzo primario, che viene finanziato emettendo titoli di Stato o accendendo prestiti</a:t>
          </a:r>
          <a:r>
            <a:rPr lang="en-US" sz="1100" b="0" u="none" strike="noStrike">
              <a:solidFill>
                <a:srgbClr val="000000"/>
              </a:solidFill>
              <a:effectLst/>
              <a:uFillTx/>
              <a:latin typeface="Calibri"/>
              <a:ea typeface="Calibri"/>
            </a:rPr>
            <a:t> (Bot, Btp, Cct ecc) e Prestiti diretti da istituzioni finanziarie o sovranazionali (come la Banca Mondiale o la BCE).</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Gli anni 2007-2010 rappresentano una fase critica per l'economia mondiale, segnata dalla crisi finanziaria iniziata con il crollo dei mutui subprime negli Stati Uniti e successivamente amplificata dal fallimento della Lehman Brothers nel 2008. La crisi ha avuto un impatto devastante sulle economie avanzate e ha reso il debito pubblico uno degli indicatori centrali per valutare la capacità di un paese di affrontare shock economici, sostenere la propria economia e mantenere la fiducia dei mercati finanziari.</a:t>
          </a:r>
          <a:endParaRPr lang="it-IT" sz="1100" b="0" u="none" strike="noStrike">
            <a:effectLst/>
            <a:uFillTx/>
            <a:latin typeface="Noto Serif"/>
          </a:endParaRPr>
        </a:p>
        <a:p>
          <a:pPr>
            <a:lnSpc>
              <a:spcPct val="100000"/>
            </a:lnSpc>
            <a:tabLst>
              <a:tab pos="0" algn="l"/>
            </a:tabLst>
          </a:pPr>
          <a:endParaRPr lang="it-IT" sz="1100" b="0" u="none" strike="noStrike">
            <a:effectLst/>
            <a:uFillTx/>
            <a:latin typeface="Noto Serif"/>
          </a:endParaRPr>
        </a:p>
        <a:p>
          <a:pPr>
            <a:lnSpc>
              <a:spcPct val="100000"/>
            </a:lnSpc>
            <a:tabLst>
              <a:tab pos="0" algn="l"/>
            </a:tabLst>
          </a:pPr>
          <a:r>
            <a:rPr lang="en-US" sz="1100" b="0" u="none" strike="noStrike">
              <a:solidFill>
                <a:srgbClr val="000000"/>
              </a:solidFill>
              <a:effectLst/>
              <a:uFillTx/>
              <a:latin typeface="Calibri"/>
              <a:ea typeface="Calibri"/>
            </a:rPr>
            <a:t>L’analisi del debito pubblico espresso in euro tra il 2007 e il 2010 mostra come la crisi abbia avuto un impatto asimmetrico sui paesi europei. I dati evidenziano la necessità di rafforzare il coordinamento fiscale e di considerare anche i livelli assoluti di debito per comprendere la sostenibilità economica. </a:t>
          </a:r>
          <a:endParaRPr lang="it-IT" sz="1100" b="0" u="none" strike="noStrike">
            <a:effectLst/>
            <a:uFillTx/>
            <a:latin typeface="Noto Serif"/>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254160</xdr:colOff>
      <xdr:row>11</xdr:row>
      <xdr:rowOff>16920</xdr:rowOff>
    </xdr:from>
    <xdr:to>
      <xdr:col>13</xdr:col>
      <xdr:colOff>253800</xdr:colOff>
      <xdr:row>35</xdr:row>
      <xdr:rowOff>45000</xdr:rowOff>
    </xdr:to>
    <xdr:graphicFrame>
      <xdr:nvGraphicFramePr>
        <xdr:cNvPr id="2" name="Chart 1"/>
        <xdr:cNvGraphicFramePr/>
      </xdr:nvGraphicFramePr>
      <xdr:xfrm>
        <a:off x="16728120" y="2112480"/>
        <a:ext cx="7486200" cy="4619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237960</xdr:colOff>
      <xdr:row>98</xdr:row>
      <xdr:rowOff>114480</xdr:rowOff>
    </xdr:from>
    <xdr:to>
      <xdr:col>18</xdr:col>
      <xdr:colOff>294840</xdr:colOff>
      <xdr:row>112</xdr:row>
      <xdr:rowOff>47520</xdr:rowOff>
    </xdr:to>
    <xdr:graphicFrame>
      <xdr:nvGraphicFramePr>
        <xdr:cNvPr id="3" name="Grafico 2"/>
        <xdr:cNvGraphicFramePr/>
      </xdr:nvGraphicFramePr>
      <xdr:xfrm>
        <a:off x="25307280" y="18838080"/>
        <a:ext cx="473148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273960</xdr:colOff>
      <xdr:row>127</xdr:row>
      <xdr:rowOff>142560</xdr:rowOff>
    </xdr:from>
    <xdr:to>
      <xdr:col>18</xdr:col>
      <xdr:colOff>663480</xdr:colOff>
      <xdr:row>142</xdr:row>
      <xdr:rowOff>154440</xdr:rowOff>
    </xdr:to>
    <xdr:graphicFrame>
      <xdr:nvGraphicFramePr>
        <xdr:cNvPr id="4" name="Grafico 37"/>
        <xdr:cNvGraphicFramePr/>
      </xdr:nvGraphicFramePr>
      <xdr:xfrm>
        <a:off x="25343280" y="24508080"/>
        <a:ext cx="5064120" cy="290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228240</xdr:colOff>
      <xdr:row>183</xdr:row>
      <xdr:rowOff>71280</xdr:rowOff>
    </xdr:from>
    <xdr:to>
      <xdr:col>18</xdr:col>
      <xdr:colOff>618840</xdr:colOff>
      <xdr:row>198</xdr:row>
      <xdr:rowOff>33840</xdr:rowOff>
    </xdr:to>
    <xdr:graphicFrame>
      <xdr:nvGraphicFramePr>
        <xdr:cNvPr id="5" name="Grafico 39"/>
        <xdr:cNvGraphicFramePr/>
      </xdr:nvGraphicFramePr>
      <xdr:xfrm>
        <a:off x="25297560" y="35307360"/>
        <a:ext cx="5065200" cy="29624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285840</xdr:colOff>
      <xdr:row>210</xdr:row>
      <xdr:rowOff>152280</xdr:rowOff>
    </xdr:from>
    <xdr:to>
      <xdr:col>18</xdr:col>
      <xdr:colOff>475920</xdr:colOff>
      <xdr:row>225</xdr:row>
      <xdr:rowOff>171000</xdr:rowOff>
    </xdr:to>
    <xdr:graphicFrame>
      <xdr:nvGraphicFramePr>
        <xdr:cNvPr id="6" name="Grafico 40"/>
        <xdr:cNvGraphicFramePr/>
      </xdr:nvGraphicFramePr>
      <xdr:xfrm>
        <a:off x="25355160" y="40691880"/>
        <a:ext cx="4864680" cy="29487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235440</xdr:colOff>
      <xdr:row>239</xdr:row>
      <xdr:rowOff>43200</xdr:rowOff>
    </xdr:from>
    <xdr:to>
      <xdr:col>18</xdr:col>
      <xdr:colOff>626040</xdr:colOff>
      <xdr:row>254</xdr:row>
      <xdr:rowOff>5760</xdr:rowOff>
    </xdr:to>
    <xdr:graphicFrame>
      <xdr:nvGraphicFramePr>
        <xdr:cNvPr id="7" name="Grafico 41"/>
        <xdr:cNvGraphicFramePr/>
      </xdr:nvGraphicFramePr>
      <xdr:xfrm>
        <a:off x="25304760" y="46197720"/>
        <a:ext cx="5065200" cy="28911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762120</xdr:colOff>
      <xdr:row>98</xdr:row>
      <xdr:rowOff>104760</xdr:rowOff>
    </xdr:from>
    <xdr:to>
      <xdr:col>26</xdr:col>
      <xdr:colOff>75960</xdr:colOff>
      <xdr:row>112</xdr:row>
      <xdr:rowOff>113760</xdr:rowOff>
    </xdr:to>
    <xdr:graphicFrame>
      <xdr:nvGraphicFramePr>
        <xdr:cNvPr id="8" name="Grafico 5"/>
        <xdr:cNvGraphicFramePr/>
      </xdr:nvGraphicFramePr>
      <xdr:xfrm>
        <a:off x="30506040" y="18828360"/>
        <a:ext cx="5316480" cy="27756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34</xdr:col>
      <xdr:colOff>542880</xdr:colOff>
      <xdr:row>98</xdr:row>
      <xdr:rowOff>76320</xdr:rowOff>
    </xdr:from>
    <xdr:to>
      <xdr:col>42</xdr:col>
      <xdr:colOff>171000</xdr:colOff>
      <xdr:row>113</xdr:row>
      <xdr:rowOff>9360</xdr:rowOff>
    </xdr:to>
    <xdr:graphicFrame>
      <xdr:nvGraphicFramePr>
        <xdr:cNvPr id="9" name="Grafico 7"/>
        <xdr:cNvGraphicFramePr/>
      </xdr:nvGraphicFramePr>
      <xdr:xfrm>
        <a:off x="41791320" y="18799920"/>
        <a:ext cx="5129640" cy="28900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571680</xdr:colOff>
      <xdr:row>127</xdr:row>
      <xdr:rowOff>98280</xdr:rowOff>
    </xdr:from>
    <xdr:to>
      <xdr:col>34</xdr:col>
      <xdr:colOff>266400</xdr:colOff>
      <xdr:row>141</xdr:row>
      <xdr:rowOff>171000</xdr:rowOff>
    </xdr:to>
    <xdr:graphicFrame>
      <xdr:nvGraphicFramePr>
        <xdr:cNvPr id="10" name="Grafico 12"/>
        <xdr:cNvGraphicFramePr/>
      </xdr:nvGraphicFramePr>
      <xdr:xfrm>
        <a:off x="36318240" y="24463800"/>
        <a:ext cx="5196600" cy="277416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974880</xdr:colOff>
      <xdr:row>127</xdr:row>
      <xdr:rowOff>136440</xdr:rowOff>
    </xdr:from>
    <xdr:to>
      <xdr:col>26</xdr:col>
      <xdr:colOff>288720</xdr:colOff>
      <xdr:row>142</xdr:row>
      <xdr:rowOff>174240</xdr:rowOff>
    </xdr:to>
    <xdr:graphicFrame>
      <xdr:nvGraphicFramePr>
        <xdr:cNvPr id="11" name="Grafico 13"/>
        <xdr:cNvGraphicFramePr/>
      </xdr:nvGraphicFramePr>
      <xdr:xfrm>
        <a:off x="30718800" y="24501960"/>
        <a:ext cx="5316480" cy="29296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19</xdr:col>
      <xdr:colOff>171360</xdr:colOff>
      <xdr:row>183</xdr:row>
      <xdr:rowOff>19080</xdr:rowOff>
    </xdr:from>
    <xdr:to>
      <xdr:col>26</xdr:col>
      <xdr:colOff>523440</xdr:colOff>
      <xdr:row>198</xdr:row>
      <xdr:rowOff>171000</xdr:rowOff>
    </xdr:to>
    <xdr:graphicFrame>
      <xdr:nvGraphicFramePr>
        <xdr:cNvPr id="12" name="Grafico 18"/>
        <xdr:cNvGraphicFramePr/>
      </xdr:nvGraphicFramePr>
      <xdr:xfrm>
        <a:off x="31104000" y="35255160"/>
        <a:ext cx="5166000" cy="31518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27</xdr:col>
      <xdr:colOff>257040</xdr:colOff>
      <xdr:row>183</xdr:row>
      <xdr:rowOff>47520</xdr:rowOff>
    </xdr:from>
    <xdr:to>
      <xdr:col>34</xdr:col>
      <xdr:colOff>561600</xdr:colOff>
      <xdr:row>198</xdr:row>
      <xdr:rowOff>66240</xdr:rowOff>
    </xdr:to>
    <xdr:graphicFrame>
      <xdr:nvGraphicFramePr>
        <xdr:cNvPr id="13" name="Grafico 19"/>
        <xdr:cNvGraphicFramePr/>
      </xdr:nvGraphicFramePr>
      <xdr:xfrm>
        <a:off x="36691560" y="35283600"/>
        <a:ext cx="5118480" cy="30186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809640</xdr:colOff>
      <xdr:row>210</xdr:row>
      <xdr:rowOff>104760</xdr:rowOff>
    </xdr:from>
    <xdr:to>
      <xdr:col>26</xdr:col>
      <xdr:colOff>123480</xdr:colOff>
      <xdr:row>226</xdr:row>
      <xdr:rowOff>9000</xdr:rowOff>
    </xdr:to>
    <xdr:graphicFrame>
      <xdr:nvGraphicFramePr>
        <xdr:cNvPr id="14" name="Grafico 20"/>
        <xdr:cNvGraphicFramePr/>
      </xdr:nvGraphicFramePr>
      <xdr:xfrm>
        <a:off x="30553560" y="40644360"/>
        <a:ext cx="5316480" cy="30247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26</xdr:col>
      <xdr:colOff>561960</xdr:colOff>
      <xdr:row>210</xdr:row>
      <xdr:rowOff>85680</xdr:rowOff>
    </xdr:from>
    <xdr:to>
      <xdr:col>34</xdr:col>
      <xdr:colOff>256680</xdr:colOff>
      <xdr:row>226</xdr:row>
      <xdr:rowOff>28080</xdr:rowOff>
    </xdr:to>
    <xdr:graphicFrame>
      <xdr:nvGraphicFramePr>
        <xdr:cNvPr id="15" name="Grafico 22"/>
        <xdr:cNvGraphicFramePr/>
      </xdr:nvGraphicFramePr>
      <xdr:xfrm>
        <a:off x="36308520" y="40625280"/>
        <a:ext cx="5196600" cy="306288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19</xdr:col>
      <xdr:colOff>171360</xdr:colOff>
      <xdr:row>239</xdr:row>
      <xdr:rowOff>28440</xdr:rowOff>
    </xdr:from>
    <xdr:to>
      <xdr:col>26</xdr:col>
      <xdr:colOff>475920</xdr:colOff>
      <xdr:row>254</xdr:row>
      <xdr:rowOff>37440</xdr:rowOff>
    </xdr:to>
    <xdr:graphicFrame>
      <xdr:nvGraphicFramePr>
        <xdr:cNvPr id="16" name="Grafico 27"/>
        <xdr:cNvGraphicFramePr/>
      </xdr:nvGraphicFramePr>
      <xdr:xfrm>
        <a:off x="31104000" y="46182960"/>
        <a:ext cx="5118480" cy="293760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114480</xdr:colOff>
      <xdr:row>239</xdr:row>
      <xdr:rowOff>38160</xdr:rowOff>
    </xdr:from>
    <xdr:to>
      <xdr:col>34</xdr:col>
      <xdr:colOff>419040</xdr:colOff>
      <xdr:row>254</xdr:row>
      <xdr:rowOff>56880</xdr:rowOff>
    </xdr:to>
    <xdr:graphicFrame>
      <xdr:nvGraphicFramePr>
        <xdr:cNvPr id="17" name="Grafico 32"/>
        <xdr:cNvGraphicFramePr/>
      </xdr:nvGraphicFramePr>
      <xdr:xfrm>
        <a:off x="36549000" y="46192680"/>
        <a:ext cx="5118480" cy="294732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26</xdr:col>
      <xdr:colOff>421200</xdr:colOff>
      <xdr:row>98</xdr:row>
      <xdr:rowOff>48960</xdr:rowOff>
    </xdr:from>
    <xdr:to>
      <xdr:col>34</xdr:col>
      <xdr:colOff>172800</xdr:colOff>
      <xdr:row>113</xdr:row>
      <xdr:rowOff>41040</xdr:rowOff>
    </xdr:to>
    <xdr:graphicFrame>
      <xdr:nvGraphicFramePr>
        <xdr:cNvPr id="18" name="Grafico 35"/>
        <xdr:cNvGraphicFramePr/>
      </xdr:nvGraphicFramePr>
      <xdr:xfrm>
        <a:off x="36167760" y="18772560"/>
        <a:ext cx="5253480" cy="294912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146</xdr:col>
      <xdr:colOff>235440</xdr:colOff>
      <xdr:row>241</xdr:row>
      <xdr:rowOff>43200</xdr:rowOff>
    </xdr:from>
    <xdr:to>
      <xdr:col>150</xdr:col>
      <xdr:colOff>626040</xdr:colOff>
      <xdr:row>256</xdr:row>
      <xdr:rowOff>5760</xdr:rowOff>
    </xdr:to>
    <xdr:graphicFrame>
      <xdr:nvGraphicFramePr>
        <xdr:cNvPr id="19" name="Grafico 41"/>
        <xdr:cNvGraphicFramePr/>
      </xdr:nvGraphicFramePr>
      <xdr:xfrm>
        <a:off x="118506600" y="46596240"/>
        <a:ext cx="3141720" cy="287352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14</xdr:col>
      <xdr:colOff>723960</xdr:colOff>
      <xdr:row>157</xdr:row>
      <xdr:rowOff>95400</xdr:rowOff>
    </xdr:from>
    <xdr:to>
      <xdr:col>19</xdr:col>
      <xdr:colOff>409320</xdr:colOff>
      <xdr:row>172</xdr:row>
      <xdr:rowOff>85680</xdr:rowOff>
    </xdr:to>
    <xdr:graphicFrame>
      <xdr:nvGraphicFramePr>
        <xdr:cNvPr id="20" name="Grafico 3"/>
        <xdr:cNvGraphicFramePr/>
      </xdr:nvGraphicFramePr>
      <xdr:xfrm>
        <a:off x="25793280" y="30228120"/>
        <a:ext cx="5548680" cy="290088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20</xdr:col>
      <xdr:colOff>14400</xdr:colOff>
      <xdr:row>157</xdr:row>
      <xdr:rowOff>116640</xdr:rowOff>
    </xdr:from>
    <xdr:to>
      <xdr:col>27</xdr:col>
      <xdr:colOff>85320</xdr:colOff>
      <xdr:row>172</xdr:row>
      <xdr:rowOff>123480</xdr:rowOff>
    </xdr:to>
    <xdr:graphicFrame>
      <xdr:nvGraphicFramePr>
        <xdr:cNvPr id="21" name="Grafico 96"/>
        <xdr:cNvGraphicFramePr/>
      </xdr:nvGraphicFramePr>
      <xdr:xfrm>
        <a:off x="31635000" y="30249360"/>
        <a:ext cx="4884840" cy="29174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28</xdr:col>
      <xdr:colOff>21600</xdr:colOff>
      <xdr:row>157</xdr:row>
      <xdr:rowOff>95400</xdr:rowOff>
    </xdr:from>
    <xdr:to>
      <xdr:col>35</xdr:col>
      <xdr:colOff>92520</xdr:colOff>
      <xdr:row>172</xdr:row>
      <xdr:rowOff>97560</xdr:rowOff>
    </xdr:to>
    <xdr:graphicFrame>
      <xdr:nvGraphicFramePr>
        <xdr:cNvPr id="22" name="Grafico 98"/>
        <xdr:cNvGraphicFramePr/>
      </xdr:nvGraphicFramePr>
      <xdr:xfrm>
        <a:off x="37143720" y="30228120"/>
        <a:ext cx="4884840" cy="291276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c.europa.eu/eurostat/databrowser/view/gov_10q_ggdebt/default/table?lang=en&amp;category=gov.gov_gfs10.gov_10q"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8.59765625" defaultRowHeight="15" customHeight="false" zeroHeight="false" outlineLevelRow="0" outlineLevelCol="0"/>
  <cols>
    <col collapsed="false" customWidth="true" hidden="false" outlineLevel="0" max="1" min="1" style="0" width="22.13"/>
    <col collapsed="false" customWidth="true" hidden="false" outlineLevel="0" max="2" min="2" style="0" width="25.51"/>
  </cols>
  <sheetData>
    <row r="2" customFormat="false" ht="15" hidden="false" customHeight="false" outlineLevel="0" collapsed="false">
      <c r="A2" s="1" t="s">
        <v>0</v>
      </c>
      <c r="B2" s="1"/>
      <c r="C2" s="1"/>
      <c r="D2" s="1"/>
    </row>
    <row r="4" customFormat="false" ht="16.4" hidden="false" customHeight="false" outlineLevel="0" collapsed="false">
      <c r="A4" s="2" t="s">
        <v>1</v>
      </c>
      <c r="B4" s="3" t="s">
        <v>2</v>
      </c>
    </row>
    <row r="5" customFormat="false" ht="15" hidden="false" customHeight="false" outlineLevel="0" collapsed="false">
      <c r="A5" s="2" t="s">
        <v>3</v>
      </c>
      <c r="B5" s="4" t="s">
        <v>4</v>
      </c>
    </row>
    <row r="6" customFormat="false" ht="15" hidden="false" customHeight="false" outlineLevel="0" collapsed="false">
      <c r="A6" s="2" t="s">
        <v>5</v>
      </c>
      <c r="B6" s="0" t="s">
        <v>6</v>
      </c>
    </row>
    <row r="7" customFormat="false" ht="15" hidden="false" customHeight="false" outlineLevel="0" collapsed="false">
      <c r="A7" s="2" t="s">
        <v>7</v>
      </c>
      <c r="B7" s="0" t="s">
        <v>8</v>
      </c>
    </row>
    <row r="9" customFormat="false" ht="15" hidden="false" customHeight="false" outlineLevel="0" collapsed="false">
      <c r="A9" s="2"/>
    </row>
  </sheetData>
  <mergeCells count="1">
    <mergeCell ref="A2:D2"/>
  </mergeCells>
  <hyperlinks>
    <hyperlink ref="B4" r:id="rId2" display="Debito pubblico trimestral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U262"/>
  <sheetViews>
    <sheetView showFormulas="false" showGridLines="true" showRowColHeaders="true" showZeros="true" rightToLeft="false" tabSelected="true" showOutlineSymbols="true" defaultGridColor="true" view="normal" topLeftCell="A86" colorId="64" zoomScale="100" zoomScaleNormal="100" zoomScalePageLayoutView="40" workbookViewId="0">
      <selection pane="topLeft" activeCell="C89" activeCellId="0" sqref="C89"/>
    </sheetView>
  </sheetViews>
  <sheetFormatPr defaultColWidth="8.59765625" defaultRowHeight="15" customHeight="false" zeroHeight="false" outlineLevelRow="0" outlineLevelCol="0"/>
  <cols>
    <col collapsed="false" customWidth="true" hidden="false" outlineLevel="0" max="1" min="1" style="0" width="31.86"/>
    <col collapsed="false" customWidth="true" hidden="false" outlineLevel="0" max="2" min="2" style="0" width="35.75"/>
    <col collapsed="false" customWidth="true" hidden="false" outlineLevel="0" max="3" min="3" style="0" width="20.14"/>
    <col collapsed="false" customWidth="true" hidden="false" outlineLevel="0" max="4" min="4" style="0" width="23.28"/>
    <col collapsed="false" customWidth="true" hidden="false" outlineLevel="0" max="5" min="5" style="0" width="18.14"/>
    <col collapsed="false" customWidth="true" hidden="false" outlineLevel="0" max="6" min="6" style="0" width="17"/>
    <col collapsed="false" customWidth="true" hidden="false" outlineLevel="0" max="8" min="7" style="0" width="16.29"/>
    <col collapsed="false" customWidth="true" hidden="false" outlineLevel="0" max="9" min="9" style="0" width="27.15"/>
    <col collapsed="false" customWidth="true" hidden="false" outlineLevel="0" max="10" min="10" style="0" width="20.29"/>
    <col collapsed="false" customWidth="true" hidden="false" outlineLevel="0" max="11" min="11" style="0" width="18.57"/>
    <col collapsed="false" customWidth="true" hidden="false" outlineLevel="0" max="12" min="12" style="0" width="33.57"/>
    <col collapsed="false" customWidth="true" hidden="false" outlineLevel="0" max="13" min="13" style="0" width="21.14"/>
    <col collapsed="false" customWidth="true" hidden="false" outlineLevel="0" max="14" min="14" style="0" width="13.86"/>
    <col collapsed="false" customWidth="true" hidden="false" outlineLevel="0" max="15" min="15" style="0" width="13.57"/>
    <col collapsed="false" customWidth="true" hidden="false" outlineLevel="0" max="16" min="16" style="0" width="15.57"/>
    <col collapsed="false" customWidth="true" hidden="false" outlineLevel="0" max="17" min="17" style="0" width="15.28"/>
    <col collapsed="false" customWidth="true" hidden="false" outlineLevel="0" max="18" min="18" style="0" width="14"/>
    <col collapsed="false" customWidth="true" hidden="false" outlineLevel="0" max="19" min="19" style="0" width="14.86"/>
  </cols>
  <sheetData>
    <row r="1" customFormat="false" ht="15" hidden="false" customHeight="false" outlineLevel="0" collapsed="false">
      <c r="A1" s="5" t="s">
        <v>0</v>
      </c>
    </row>
    <row r="4" customFormat="false" ht="15" hidden="false" customHeight="false" outlineLevel="0" collapsed="false">
      <c r="A4" s="2" t="s">
        <v>1</v>
      </c>
      <c r="B4" s="4" t="s">
        <v>2</v>
      </c>
    </row>
    <row r="5" customFormat="false" ht="15" hidden="false" customHeight="false" outlineLevel="0" collapsed="false">
      <c r="A5" s="2" t="s">
        <v>3</v>
      </c>
      <c r="B5" s="4" t="s">
        <v>4</v>
      </c>
    </row>
    <row r="6" customFormat="false" ht="15" hidden="false" customHeight="false" outlineLevel="0" collapsed="false">
      <c r="A6" s="2" t="s">
        <v>5</v>
      </c>
      <c r="B6" s="0" t="s">
        <v>6</v>
      </c>
      <c r="C6" s="4"/>
    </row>
    <row r="7" customFormat="false" ht="15" hidden="false" customHeight="false" outlineLevel="0" collapsed="false">
      <c r="A7" s="2" t="s">
        <v>7</v>
      </c>
      <c r="B7" s="0" t="s">
        <v>8</v>
      </c>
      <c r="C7" s="4"/>
    </row>
    <row r="8" customFormat="false" ht="15" hidden="false" customHeight="false" outlineLevel="0" collapsed="false">
      <c r="A8" s="2"/>
      <c r="C8" s="4"/>
    </row>
    <row r="9" customFormat="false" ht="15" hidden="false" customHeight="false" outlineLevel="0" collapsed="false">
      <c r="A9" s="2"/>
      <c r="C9" s="4"/>
    </row>
    <row r="10" customFormat="false" ht="15" hidden="false" customHeight="false" outlineLevel="0" collapsed="false">
      <c r="A10" s="2"/>
      <c r="B10" s="0" t="s">
        <v>9</v>
      </c>
      <c r="C10" s="4"/>
    </row>
    <row r="11" customFormat="false" ht="15" hidden="false" customHeight="false" outlineLevel="0" collapsed="false">
      <c r="A11" s="2"/>
      <c r="C11" s="4"/>
    </row>
    <row r="12" customFormat="false" ht="15" hidden="false" customHeight="false" outlineLevel="0" collapsed="false">
      <c r="A12" s="2"/>
      <c r="C12" s="4"/>
    </row>
    <row r="13" customFormat="false" ht="15" hidden="false" customHeight="false" outlineLevel="0" collapsed="false">
      <c r="A13" s="2"/>
      <c r="C13" s="4"/>
    </row>
    <row r="14" customFormat="false" ht="15" hidden="false" customHeight="false" outlineLevel="0" collapsed="false">
      <c r="A14" s="2"/>
      <c r="C14" s="4"/>
    </row>
    <row r="15" customFormat="false" ht="15" hidden="false" customHeight="false" outlineLevel="0" collapsed="false">
      <c r="A15" s="2"/>
      <c r="C15" s="4"/>
    </row>
    <row r="16" customFormat="false" ht="15" hidden="false" customHeight="false" outlineLevel="0" collapsed="false">
      <c r="A16" s="2"/>
      <c r="C16" s="4"/>
    </row>
    <row r="17" customFormat="false" ht="15" hidden="false" customHeight="false" outlineLevel="0" collapsed="false">
      <c r="A17" s="2"/>
      <c r="C17" s="4"/>
    </row>
    <row r="18" customFormat="false" ht="15" hidden="false" customHeight="false" outlineLevel="0" collapsed="false">
      <c r="A18" s="2"/>
      <c r="C18" s="4"/>
    </row>
    <row r="19" customFormat="false" ht="15" hidden="false" customHeight="false" outlineLevel="0" collapsed="false">
      <c r="A19" s="6" t="s">
        <v>10</v>
      </c>
      <c r="B19" s="7" t="s">
        <v>11</v>
      </c>
      <c r="C19" s="7" t="s">
        <v>12</v>
      </c>
      <c r="D19" s="7" t="s">
        <v>13</v>
      </c>
      <c r="E19" s="7" t="s">
        <v>14</v>
      </c>
      <c r="F19" s="8" t="s">
        <v>15</v>
      </c>
      <c r="G19" s="7" t="s">
        <v>16</v>
      </c>
      <c r="H19" s="9"/>
      <c r="I19" s="9"/>
      <c r="J19" s="9"/>
      <c r="L19" s="9"/>
      <c r="M19" s="9"/>
      <c r="N19" s="9"/>
      <c r="O19" s="9"/>
      <c r="P19" s="9"/>
      <c r="Q19" s="9"/>
      <c r="R19" s="9"/>
    </row>
    <row r="20" customFormat="false" ht="15" hidden="false" customHeight="false" outlineLevel="0" collapsed="false">
      <c r="A20" s="10" t="s">
        <v>17</v>
      </c>
      <c r="B20" s="11" t="n">
        <v>6712920.8</v>
      </c>
      <c r="C20" s="10" t="n">
        <v>1613974.4</v>
      </c>
      <c r="D20" s="10" t="n">
        <v>398734</v>
      </c>
      <c r="E20" s="10" t="n">
        <v>1244508.9</v>
      </c>
      <c r="F20" s="12" t="n">
        <v>1686726.2</v>
      </c>
      <c r="G20" s="10" t="n">
        <v>2822.5</v>
      </c>
      <c r="H20" s="9"/>
      <c r="I20" s="9"/>
      <c r="K20" s="9"/>
      <c r="L20" s="13"/>
      <c r="M20" s="9"/>
      <c r="N20" s="9"/>
      <c r="O20" s="9"/>
      <c r="P20" s="9"/>
      <c r="Q20" s="9"/>
      <c r="R20" s="9"/>
    </row>
    <row r="21" customFormat="false" ht="15" hidden="false" customHeight="false" outlineLevel="0" collapsed="false">
      <c r="A21" s="10" t="s">
        <v>18</v>
      </c>
      <c r="B21" s="11" t="n">
        <v>6801412</v>
      </c>
      <c r="C21" s="10" t="n">
        <v>1632335.5</v>
      </c>
      <c r="D21" s="10" t="n">
        <v>400012</v>
      </c>
      <c r="E21" s="10" t="n">
        <v>1277565</v>
      </c>
      <c r="F21" s="12" t="n">
        <v>1701397.6</v>
      </c>
      <c r="G21" s="10" t="n">
        <v>3016.2</v>
      </c>
      <c r="H21" s="9"/>
      <c r="I21" s="9"/>
      <c r="M21" s="9"/>
      <c r="N21" s="9"/>
      <c r="O21" s="9"/>
      <c r="P21" s="9"/>
      <c r="Q21" s="9"/>
      <c r="R21" s="9"/>
      <c r="ER21" s="9"/>
      <c r="ES21" s="9"/>
      <c r="ET21" s="9"/>
    </row>
    <row r="22" customFormat="false" ht="15" hidden="false" customHeight="false" outlineLevel="0" collapsed="false">
      <c r="A22" s="10" t="s">
        <v>19</v>
      </c>
      <c r="B22" s="11" t="n">
        <v>6793490.4</v>
      </c>
      <c r="C22" s="10" t="n">
        <v>1612995</v>
      </c>
      <c r="D22" s="10" t="n">
        <v>391300</v>
      </c>
      <c r="E22" s="10" t="n">
        <v>1280494.8</v>
      </c>
      <c r="F22" s="12" t="n">
        <v>1700613.2</v>
      </c>
      <c r="G22" s="10" t="n">
        <v>3018.6</v>
      </c>
      <c r="H22" s="9"/>
      <c r="I22" s="9"/>
      <c r="M22" s="9"/>
      <c r="N22" s="9"/>
      <c r="O22" s="9"/>
      <c r="P22" s="9"/>
      <c r="Q22" s="9"/>
      <c r="R22" s="9"/>
      <c r="ER22" s="9"/>
      <c r="ES22" s="9"/>
      <c r="ET22" s="9"/>
    </row>
    <row r="23" customFormat="false" ht="15" hidden="false" customHeight="false" outlineLevel="0" collapsed="false">
      <c r="A23" s="10" t="s">
        <v>20</v>
      </c>
      <c r="B23" s="11" t="n">
        <v>6728775.4</v>
      </c>
      <c r="C23" s="10" t="n">
        <v>1619064.6</v>
      </c>
      <c r="D23" s="10" t="n">
        <v>384662</v>
      </c>
      <c r="E23" s="10" t="n">
        <v>1268858.7</v>
      </c>
      <c r="F23" s="12" t="n">
        <v>1677724.7</v>
      </c>
      <c r="G23" s="10" t="n">
        <v>3045.9</v>
      </c>
      <c r="H23" s="9"/>
      <c r="I23" s="9"/>
      <c r="M23" s="9"/>
      <c r="N23" s="9"/>
      <c r="O23" s="9"/>
      <c r="P23" s="9"/>
      <c r="Q23" s="9"/>
      <c r="R23" s="9"/>
      <c r="ER23" s="9"/>
      <c r="ES23" s="9"/>
      <c r="ET23" s="9"/>
    </row>
    <row r="24" customFormat="false" ht="15" hidden="false" customHeight="false" outlineLevel="0" collapsed="false">
      <c r="A24" s="10" t="s">
        <v>21</v>
      </c>
      <c r="B24" s="11" t="n">
        <v>6865601.1</v>
      </c>
      <c r="C24" s="10" t="n">
        <v>1637561.7</v>
      </c>
      <c r="D24" s="10" t="n">
        <v>380270</v>
      </c>
      <c r="E24" s="10" t="n">
        <v>1311092.4</v>
      </c>
      <c r="F24" s="12" t="n">
        <v>1726515.8</v>
      </c>
      <c r="G24" s="10" t="n">
        <v>3254.5</v>
      </c>
      <c r="H24" s="9"/>
      <c r="I24" s="9"/>
      <c r="M24" s="9"/>
      <c r="N24" s="9"/>
      <c r="O24" s="9"/>
      <c r="P24" s="9"/>
      <c r="Q24" s="9"/>
      <c r="R24" s="9"/>
      <c r="ER24" s="9"/>
      <c r="ES24" s="9"/>
      <c r="ET24" s="9"/>
    </row>
    <row r="25" customFormat="false" ht="15" hidden="false" customHeight="false" outlineLevel="0" collapsed="false">
      <c r="A25" s="10" t="s">
        <v>22</v>
      </c>
      <c r="B25" s="11" t="n">
        <v>6973257.3</v>
      </c>
      <c r="C25" s="10" t="n">
        <v>1673210.6</v>
      </c>
      <c r="D25" s="10" t="n">
        <v>390638</v>
      </c>
      <c r="E25" s="10" t="n">
        <v>1330957.1</v>
      </c>
      <c r="F25" s="12" t="n">
        <v>1729967.5</v>
      </c>
      <c r="G25" s="10" t="n">
        <v>3297.7</v>
      </c>
      <c r="H25" s="9"/>
      <c r="I25" s="9"/>
      <c r="M25" s="9"/>
      <c r="N25" s="9"/>
      <c r="O25" s="9"/>
      <c r="P25" s="9"/>
      <c r="Q25" s="9"/>
      <c r="R25" s="9"/>
      <c r="ER25" s="9"/>
      <c r="ES25" s="9"/>
      <c r="ET25" s="9"/>
    </row>
    <row r="26" customFormat="false" ht="16.5" hidden="false" customHeight="true" outlineLevel="0" collapsed="false">
      <c r="A26" s="10" t="s">
        <v>23</v>
      </c>
      <c r="B26" s="11" t="n">
        <v>7019601.4</v>
      </c>
      <c r="C26" s="10" t="n">
        <v>1668645.1</v>
      </c>
      <c r="D26" s="10" t="n">
        <v>403722</v>
      </c>
      <c r="E26" s="10" t="n">
        <v>1348710.1</v>
      </c>
      <c r="F26" s="12" t="n">
        <v>1725417.1</v>
      </c>
      <c r="G26" s="10" t="n">
        <v>3304.9</v>
      </c>
      <c r="H26" s="9"/>
      <c r="I26" s="9"/>
      <c r="M26" s="9"/>
      <c r="N26" s="9"/>
      <c r="O26" s="9"/>
      <c r="P26" s="9"/>
      <c r="Q26" s="9"/>
      <c r="R26" s="9"/>
      <c r="ER26" s="9"/>
      <c r="ES26" s="9"/>
      <c r="ET26" s="9"/>
    </row>
    <row r="27" customFormat="false" ht="15" hidden="false" customHeight="false" outlineLevel="0" collapsed="false">
      <c r="A27" s="10" t="s">
        <v>24</v>
      </c>
      <c r="B27" s="11" t="n">
        <v>7249226.5</v>
      </c>
      <c r="C27" s="10" t="n">
        <v>1687442</v>
      </c>
      <c r="D27" s="10" t="n">
        <v>440621</v>
      </c>
      <c r="E27" s="10" t="n">
        <v>1389401.6</v>
      </c>
      <c r="F27" s="12" t="n">
        <v>1738851.1</v>
      </c>
      <c r="G27" s="10" t="n">
        <v>5852.4</v>
      </c>
      <c r="H27" s="9"/>
      <c r="I27" s="9" t="s">
        <v>9</v>
      </c>
      <c r="J27" s="9"/>
      <c r="K27" s="9"/>
      <c r="L27" s="9"/>
      <c r="M27" s="9"/>
      <c r="N27" s="9"/>
      <c r="O27" s="9"/>
      <c r="P27" s="9"/>
      <c r="Q27" s="9"/>
      <c r="R27" s="9"/>
      <c r="ER27" s="9"/>
      <c r="ES27" s="9"/>
      <c r="ET27" s="9"/>
    </row>
    <row r="28" customFormat="false" ht="15" hidden="false" customHeight="false" outlineLevel="0" collapsed="false">
      <c r="A28" s="10" t="s">
        <v>25</v>
      </c>
      <c r="B28" s="11" t="n">
        <v>7546208.8</v>
      </c>
      <c r="C28" s="10" t="n">
        <v>1717521.1</v>
      </c>
      <c r="D28" s="10" t="n">
        <v>473710</v>
      </c>
      <c r="E28" s="10" t="n">
        <v>1472910.6</v>
      </c>
      <c r="F28" s="12" t="n">
        <v>1817403.7</v>
      </c>
      <c r="G28" s="10" t="n">
        <v>6010.2</v>
      </c>
      <c r="H28" s="9"/>
      <c r="I28" s="9"/>
      <c r="J28" s="9"/>
      <c r="K28" s="9"/>
      <c r="L28" s="9"/>
      <c r="M28" s="9"/>
      <c r="N28" s="9"/>
      <c r="O28" s="9"/>
      <c r="P28" s="9"/>
      <c r="Q28" s="9"/>
      <c r="R28" s="9"/>
      <c r="ER28" s="9"/>
      <c r="ES28" s="9"/>
      <c r="ET28" s="9"/>
    </row>
    <row r="29" customFormat="false" ht="15" hidden="false" customHeight="false" outlineLevel="0" collapsed="false">
      <c r="A29" s="10" t="s">
        <v>26</v>
      </c>
      <c r="B29" s="11" t="n">
        <v>7811322.1</v>
      </c>
      <c r="C29" s="10" t="n">
        <v>1783016.1</v>
      </c>
      <c r="D29" s="10" t="n">
        <v>511173</v>
      </c>
      <c r="E29" s="10" t="n">
        <v>1561745.9</v>
      </c>
      <c r="F29" s="12" t="n">
        <v>1829545.6</v>
      </c>
      <c r="G29" s="10" t="n">
        <v>6040.6</v>
      </c>
      <c r="H29" s="9"/>
      <c r="I29" s="9"/>
      <c r="J29" s="9"/>
      <c r="K29" s="9"/>
      <c r="L29" s="9"/>
      <c r="M29" s="9"/>
      <c r="N29" s="9"/>
      <c r="O29" s="9"/>
      <c r="P29" s="9"/>
      <c r="Q29" s="9"/>
      <c r="R29" s="9"/>
      <c r="ER29" s="9"/>
      <c r="ES29" s="9"/>
      <c r="ET29" s="9"/>
    </row>
    <row r="30" customFormat="false" ht="15" hidden="false" customHeight="false" outlineLevel="0" collapsed="false">
      <c r="A30" s="10" t="s">
        <v>27</v>
      </c>
      <c r="B30" s="11" t="n">
        <v>7973928.9</v>
      </c>
      <c r="C30" s="10" t="n">
        <v>1791086.9</v>
      </c>
      <c r="D30" s="10" t="n">
        <v>533678</v>
      </c>
      <c r="E30" s="10" t="n">
        <v>1601408.3</v>
      </c>
      <c r="F30" s="12" t="n">
        <v>1865426.8</v>
      </c>
      <c r="G30" s="10" t="n">
        <v>6153.7</v>
      </c>
      <c r="H30" s="9"/>
      <c r="I30" s="9"/>
      <c r="J30" s="9"/>
      <c r="K30" s="9"/>
      <c r="L30" s="9"/>
      <c r="M30" s="9"/>
      <c r="N30" s="9"/>
      <c r="O30" s="9"/>
      <c r="P30" s="9"/>
      <c r="Q30" s="9"/>
      <c r="R30" s="9"/>
      <c r="ER30" s="9"/>
      <c r="ES30" s="9"/>
      <c r="ET30" s="9"/>
    </row>
    <row r="31" customFormat="false" ht="15" hidden="false" customHeight="false" outlineLevel="0" collapsed="false">
      <c r="A31" s="10" t="s">
        <v>28</v>
      </c>
      <c r="B31" s="11" t="n">
        <v>8066255.7</v>
      </c>
      <c r="C31" s="10" t="n">
        <v>1804696</v>
      </c>
      <c r="D31" s="10" t="n">
        <v>569535</v>
      </c>
      <c r="E31" s="10" t="n">
        <v>1627182.2</v>
      </c>
      <c r="F31" s="12" t="n">
        <v>1839486.4</v>
      </c>
      <c r="G31" s="10" t="n">
        <v>5969</v>
      </c>
      <c r="H31" s="9"/>
      <c r="I31" s="9"/>
      <c r="J31" s="9"/>
      <c r="K31" s="9"/>
      <c r="L31" s="9"/>
      <c r="M31" s="9"/>
      <c r="N31" s="9"/>
      <c r="O31" s="9"/>
      <c r="P31" s="9"/>
      <c r="Q31" s="9"/>
      <c r="R31" s="9"/>
      <c r="ER31" s="9"/>
      <c r="ES31" s="9"/>
      <c r="ET31" s="9"/>
    </row>
    <row r="32" customFormat="false" ht="15" hidden="false" customHeight="false" outlineLevel="0" collapsed="false">
      <c r="A32" s="10" t="s">
        <v>29</v>
      </c>
      <c r="B32" s="11" t="n">
        <v>8290391.5</v>
      </c>
      <c r="C32" s="10" t="n">
        <v>1824334.3</v>
      </c>
      <c r="D32" s="10" t="n">
        <v>586851</v>
      </c>
      <c r="E32" s="10" t="n">
        <v>1672652.4</v>
      </c>
      <c r="F32" s="12" t="n">
        <v>1876411.9</v>
      </c>
      <c r="G32" s="10" t="n">
        <v>6113.2</v>
      </c>
      <c r="H32" s="9"/>
      <c r="I32" s="9"/>
      <c r="J32" s="9"/>
      <c r="K32" s="9"/>
      <c r="L32" s="9"/>
      <c r="M32" s="9"/>
      <c r="N32" s="9"/>
      <c r="O32" s="9"/>
      <c r="P32" s="9"/>
      <c r="Q32" s="9"/>
      <c r="R32" s="9"/>
      <c r="ER32" s="9"/>
      <c r="ES32" s="9"/>
      <c r="ET32" s="9"/>
    </row>
    <row r="33" customFormat="false" ht="15" hidden="false" customHeight="false" outlineLevel="0" collapsed="false">
      <c r="A33" s="10" t="s">
        <v>30</v>
      </c>
      <c r="B33" s="11" t="n">
        <v>8476370.6</v>
      </c>
      <c r="C33" s="10" t="n">
        <v>1865708.4</v>
      </c>
      <c r="D33" s="10" t="n">
        <v>609032</v>
      </c>
      <c r="E33" s="10" t="n">
        <v>1730926.2</v>
      </c>
      <c r="F33" s="12" t="n">
        <v>1900770.5</v>
      </c>
      <c r="G33" s="10" t="n">
        <v>8149.3</v>
      </c>
      <c r="H33" s="9"/>
      <c r="I33" s="9"/>
      <c r="J33" s="9"/>
      <c r="K33" s="9"/>
      <c r="L33" s="9"/>
      <c r="M33" s="9"/>
      <c r="N33" s="9"/>
      <c r="O33" s="9"/>
      <c r="P33" s="9"/>
      <c r="Q33" s="9"/>
      <c r="R33" s="9"/>
      <c r="ER33" s="9"/>
      <c r="ES33" s="9"/>
      <c r="ET33" s="9"/>
    </row>
    <row r="34" customFormat="false" ht="15" hidden="false" customHeight="false" outlineLevel="0" collapsed="false">
      <c r="A34" s="10" t="s">
        <v>31</v>
      </c>
      <c r="B34" s="11" t="n">
        <v>8580057.7</v>
      </c>
      <c r="C34" s="10" t="n">
        <v>1891869.7</v>
      </c>
      <c r="D34" s="10" t="n">
        <v>620541</v>
      </c>
      <c r="E34" s="10" t="n">
        <v>1710061.3</v>
      </c>
      <c r="F34" s="12" t="n">
        <v>1921133.5</v>
      </c>
      <c r="G34" s="10" t="n">
        <v>8206.3</v>
      </c>
      <c r="H34" s="9"/>
      <c r="I34" s="9"/>
      <c r="J34" s="9"/>
      <c r="K34" s="9"/>
      <c r="L34" s="9"/>
      <c r="M34" s="9"/>
      <c r="N34" s="9"/>
      <c r="O34" s="9"/>
      <c r="P34" s="9"/>
      <c r="Q34" s="9"/>
      <c r="R34" s="9"/>
      <c r="ER34" s="9"/>
      <c r="ES34" s="9"/>
      <c r="ET34" s="9"/>
    </row>
    <row r="35" customFormat="false" ht="15" hidden="false" customHeight="false" outlineLevel="0" collapsed="false">
      <c r="A35" s="10" t="s">
        <v>32</v>
      </c>
      <c r="B35" s="11" t="n">
        <v>8880738.8</v>
      </c>
      <c r="C35" s="10" t="n">
        <v>2119241.8</v>
      </c>
      <c r="D35" s="10" t="n">
        <v>649153</v>
      </c>
      <c r="E35" s="10" t="n">
        <v>1722172.2</v>
      </c>
      <c r="F35" s="12" t="n">
        <v>1921100.2</v>
      </c>
      <c r="G35" s="10" t="n">
        <v>8094.5</v>
      </c>
      <c r="H35" s="9"/>
      <c r="I35" s="9"/>
      <c r="J35" s="9"/>
      <c r="K35" s="9"/>
      <c r="L35" s="9"/>
      <c r="M35" s="9"/>
      <c r="N35" s="9"/>
      <c r="O35" s="9"/>
      <c r="P35" s="9"/>
      <c r="Q35" s="9"/>
      <c r="R35" s="9"/>
      <c r="ER35" s="9"/>
      <c r="ES35" s="9"/>
      <c r="ET35" s="9"/>
    </row>
    <row r="36" customFormat="false" ht="15" hidden="false" customHeight="false" outlineLevel="0" collapsed="false">
      <c r="A36" s="9"/>
      <c r="B36" s="9"/>
      <c r="C36" s="9"/>
      <c r="D36" s="9"/>
      <c r="E36" s="9"/>
      <c r="F36" s="9"/>
      <c r="G36" s="9"/>
      <c r="H36" s="9"/>
      <c r="I36" s="9"/>
      <c r="J36" s="9"/>
      <c r="K36" s="9"/>
      <c r="L36" s="9"/>
      <c r="M36" s="9"/>
      <c r="N36" s="9"/>
      <c r="O36" s="9"/>
      <c r="P36" s="9"/>
      <c r="Q36" s="9"/>
      <c r="R36" s="9"/>
      <c r="S36" s="9"/>
      <c r="ER36" s="9"/>
      <c r="ES36" s="9"/>
      <c r="ET36" s="9"/>
    </row>
    <row r="37" customFormat="false" ht="15" hidden="false" customHeight="false" outlineLevel="0" collapsed="false">
      <c r="A37" s="9"/>
      <c r="B37" s="9"/>
      <c r="C37" s="9"/>
      <c r="D37" s="9"/>
      <c r="E37" s="9"/>
      <c r="F37" s="9"/>
      <c r="G37" s="9"/>
      <c r="H37" s="9"/>
      <c r="I37" s="9"/>
      <c r="J37" s="9"/>
      <c r="K37" s="9"/>
      <c r="L37" s="9"/>
      <c r="M37" s="9"/>
      <c r="N37" s="9"/>
      <c r="O37" s="9"/>
      <c r="P37" s="9"/>
      <c r="Q37" s="9"/>
      <c r="R37" s="9"/>
      <c r="S37" s="9"/>
      <c r="ER37" s="9"/>
      <c r="ES37" s="9"/>
      <c r="ET37" s="9"/>
    </row>
    <row r="38" customFormat="false" ht="16.4" hidden="false" customHeight="false" outlineLevel="0" collapsed="false">
      <c r="A38" s="14" t="s">
        <v>33</v>
      </c>
      <c r="B38" s="14"/>
      <c r="C38" s="14"/>
      <c r="D38" s="14"/>
      <c r="E38" s="14"/>
      <c r="F38" s="14"/>
      <c r="G38" s="14"/>
      <c r="H38" s="9"/>
      <c r="I38" s="14" t="s">
        <v>34</v>
      </c>
      <c r="J38" s="14"/>
      <c r="K38" s="14"/>
      <c r="L38" s="14"/>
      <c r="M38" s="14"/>
      <c r="N38" s="14"/>
      <c r="O38" s="14"/>
      <c r="P38" s="9"/>
      <c r="Q38" s="9"/>
      <c r="R38" s="9"/>
      <c r="S38" s="9"/>
      <c r="ER38" s="9"/>
      <c r="ES38" s="9"/>
      <c r="ET38" s="9"/>
      <c r="EU38" s="9"/>
    </row>
    <row r="39" customFormat="false" ht="15" hidden="false" customHeight="false" outlineLevel="0" collapsed="false">
      <c r="A39" s="15"/>
      <c r="B39" s="14"/>
      <c r="C39" s="14"/>
      <c r="D39" s="14"/>
      <c r="E39" s="14"/>
      <c r="F39" s="14"/>
      <c r="G39" s="14"/>
      <c r="H39" s="9"/>
      <c r="I39" s="14"/>
      <c r="J39" s="14"/>
      <c r="K39" s="14"/>
      <c r="L39" s="14"/>
      <c r="M39" s="14"/>
      <c r="N39" s="14"/>
      <c r="O39" s="14"/>
      <c r="P39" s="9"/>
      <c r="Q39" s="9"/>
      <c r="R39" s="9"/>
      <c r="S39" s="9"/>
      <c r="ER39" s="9"/>
      <c r="ES39" s="9"/>
      <c r="ET39" s="9"/>
      <c r="EU39" s="9"/>
    </row>
    <row r="40" customFormat="false" ht="15" hidden="false" customHeight="false" outlineLevel="0" collapsed="false">
      <c r="A40" s="6" t="s">
        <v>10</v>
      </c>
      <c r="B40" s="7" t="s">
        <v>11</v>
      </c>
      <c r="C40" s="7" t="s">
        <v>12</v>
      </c>
      <c r="D40" s="7" t="s">
        <v>13</v>
      </c>
      <c r="E40" s="7" t="s">
        <v>14</v>
      </c>
      <c r="F40" s="7" t="s">
        <v>15</v>
      </c>
      <c r="G40" s="7" t="s">
        <v>16</v>
      </c>
      <c r="H40" s="9"/>
      <c r="I40" s="6" t="s">
        <v>10</v>
      </c>
      <c r="J40" s="7" t="s">
        <v>11</v>
      </c>
      <c r="K40" s="7" t="s">
        <v>12</v>
      </c>
      <c r="L40" s="7" t="s">
        <v>13</v>
      </c>
      <c r="M40" s="7" t="s">
        <v>14</v>
      </c>
      <c r="N40" s="7" t="s">
        <v>15</v>
      </c>
      <c r="O40" s="7" t="s">
        <v>16</v>
      </c>
      <c r="P40" s="9"/>
      <c r="Q40" s="9"/>
      <c r="R40" s="9"/>
      <c r="ER40" s="9"/>
      <c r="ES40" s="9"/>
      <c r="ET40" s="9"/>
      <c r="EU40" s="9"/>
    </row>
    <row r="41" customFormat="false" ht="15" hidden="false" customHeight="false" outlineLevel="0" collapsed="false">
      <c r="A41" s="10" t="s">
        <v>17</v>
      </c>
      <c r="B41" s="16" t="n">
        <f aca="false">B20/$B$20*100</f>
        <v>100</v>
      </c>
      <c r="C41" s="16" t="n">
        <f aca="false">C20/$C$20*100</f>
        <v>100</v>
      </c>
      <c r="D41" s="16" t="n">
        <f aca="false">D20/$D$20*100</f>
        <v>100</v>
      </c>
      <c r="E41" s="16" t="n">
        <f aca="false">E20/$E$20*100</f>
        <v>100</v>
      </c>
      <c r="F41" s="16" t="n">
        <f aca="false">F20/$F$20*100</f>
        <v>100</v>
      </c>
      <c r="G41" s="16" t="n">
        <f aca="false">G20/$G$20*100</f>
        <v>100</v>
      </c>
      <c r="H41" s="9"/>
      <c r="I41" s="10" t="s">
        <v>17</v>
      </c>
      <c r="J41" s="17" t="s">
        <v>35</v>
      </c>
      <c r="K41" s="17" t="s">
        <v>35</v>
      </c>
      <c r="L41" s="17" t="s">
        <v>35</v>
      </c>
      <c r="M41" s="17" t="s">
        <v>35</v>
      </c>
      <c r="N41" s="17" t="s">
        <v>35</v>
      </c>
      <c r="O41" s="17" t="s">
        <v>35</v>
      </c>
      <c r="P41" s="9"/>
      <c r="Q41" s="9"/>
      <c r="R41" s="9"/>
      <c r="ER41" s="9"/>
      <c r="ES41" s="9"/>
      <c r="ET41" s="9"/>
      <c r="EU41" s="9"/>
    </row>
    <row r="42" customFormat="false" ht="15" hidden="false" customHeight="false" outlineLevel="0" collapsed="false">
      <c r="A42" s="10" t="s">
        <v>18</v>
      </c>
      <c r="B42" s="16" t="n">
        <f aca="false">B21/$B$20*100</f>
        <v>101.318222017456</v>
      </c>
      <c r="C42" s="16" t="n">
        <f aca="false">C21/$C$20*100</f>
        <v>101.137632666293</v>
      </c>
      <c r="D42" s="16" t="n">
        <f aca="false">D21/$D$20*100</f>
        <v>100.320514428165</v>
      </c>
      <c r="E42" s="16" t="n">
        <f aca="false">E21/$E$20*100</f>
        <v>102.65615617534</v>
      </c>
      <c r="F42" s="16" t="n">
        <f aca="false">F21/$F$20*100</f>
        <v>100.869815148422</v>
      </c>
      <c r="G42" s="16" t="n">
        <f aca="false">G21/$G$20*100</f>
        <v>106.862710363153</v>
      </c>
      <c r="H42" s="9"/>
      <c r="I42" s="10" t="s">
        <v>18</v>
      </c>
      <c r="J42" s="18" t="n">
        <f aca="false">B21/B20*100</f>
        <v>101.318222017456</v>
      </c>
      <c r="K42" s="16" t="n">
        <f aca="false">C21/C20*100</f>
        <v>101.137632666293</v>
      </c>
      <c r="L42" s="16" t="n">
        <f aca="false">D21/D20*100</f>
        <v>100.320514428165</v>
      </c>
      <c r="M42" s="16" t="n">
        <f aca="false">E21/E20*100</f>
        <v>102.65615617534</v>
      </c>
      <c r="N42" s="16" t="n">
        <f aca="false">F21/F20*100</f>
        <v>100.869815148422</v>
      </c>
      <c r="O42" s="16" t="n">
        <f aca="false">G21/G20*100</f>
        <v>106.862710363153</v>
      </c>
      <c r="P42" s="9"/>
      <c r="Q42" s="9"/>
      <c r="R42" s="9"/>
      <c r="ER42" s="9"/>
      <c r="ES42" s="9"/>
      <c r="ET42" s="9"/>
    </row>
    <row r="43" customFormat="false" ht="15" hidden="false" customHeight="false" outlineLevel="0" collapsed="false">
      <c r="A43" s="10" t="s">
        <v>19</v>
      </c>
      <c r="B43" s="16" t="n">
        <f aca="false">B22/$B$20*100</f>
        <v>101.200216752148</v>
      </c>
      <c r="C43" s="19" t="n">
        <f aca="false">C22/$C$20*100</f>
        <v>99.9393175009467</v>
      </c>
      <c r="D43" s="19" t="n">
        <f aca="false">D22/$D$20*100</f>
        <v>98.1355991713774</v>
      </c>
      <c r="E43" s="16" t="n">
        <f aca="false">E22/$E$20*100</f>
        <v>102.891574339083</v>
      </c>
      <c r="F43" s="16" t="n">
        <f aca="false">F22/$F$20*100</f>
        <v>100.823310861004</v>
      </c>
      <c r="G43" s="16" t="n">
        <f aca="false">G22/$G$20*100</f>
        <v>106.947741364039</v>
      </c>
      <c r="H43" s="9"/>
      <c r="I43" s="10" t="s">
        <v>19</v>
      </c>
      <c r="J43" s="18" t="n">
        <f aca="false">B22/B21*100</f>
        <v>99.883530066992</v>
      </c>
      <c r="K43" s="16" t="n">
        <f aca="false">C22/C21*100</f>
        <v>98.8151639169766</v>
      </c>
      <c r="L43" s="16" t="n">
        <f aca="false">D22/D21*100</f>
        <v>97.8220653380399</v>
      </c>
      <c r="M43" s="16" t="n">
        <f aca="false">E22/E21*100</f>
        <v>100.229326883564</v>
      </c>
      <c r="N43" s="16" t="n">
        <f aca="false">F22/F21*100</f>
        <v>99.9538967258447</v>
      </c>
      <c r="O43" s="16" t="n">
        <f aca="false">G22/G21*100</f>
        <v>100.079570320271</v>
      </c>
      <c r="P43" s="9"/>
      <c r="Q43" s="9"/>
      <c r="R43" s="9"/>
      <c r="ER43" s="9"/>
      <c r="ES43" s="9"/>
      <c r="ET43" s="9"/>
    </row>
    <row r="44" customFormat="false" ht="15" hidden="false" customHeight="false" outlineLevel="0" collapsed="false">
      <c r="A44" s="10" t="s">
        <v>20</v>
      </c>
      <c r="B44" s="16" t="n">
        <f aca="false">B23/$B$20*100</f>
        <v>100.236180352374</v>
      </c>
      <c r="C44" s="16" t="n">
        <f aca="false">C23/$C$20*100</f>
        <v>100.315382945355</v>
      </c>
      <c r="D44" s="16" t="n">
        <f aca="false">D23/$D$20*100</f>
        <v>96.4708301775118</v>
      </c>
      <c r="E44" s="16" t="n">
        <f aca="false">E23/$E$20*100</f>
        <v>101.956579016831</v>
      </c>
      <c r="F44" s="19" t="n">
        <f aca="false">F23/$F$20*100</f>
        <v>99.4663330657934</v>
      </c>
      <c r="G44" s="16" t="n">
        <f aca="false">G23/$G$20*100</f>
        <v>107.914968999114</v>
      </c>
      <c r="H44" s="9"/>
      <c r="I44" s="10" t="s">
        <v>20</v>
      </c>
      <c r="J44" s="20" t="n">
        <f aca="false">B23/B22*100</f>
        <v>99.0473969021874</v>
      </c>
      <c r="K44" s="16" t="n">
        <f aca="false">C23/C22*100</f>
        <v>100.376293788883</v>
      </c>
      <c r="L44" s="16" t="n">
        <f aca="false">D23/D22*100</f>
        <v>98.3036033733708</v>
      </c>
      <c r="M44" s="16" t="n">
        <f aca="false">E23/E22*100</f>
        <v>99.0912809642023</v>
      </c>
      <c r="N44" s="16" t="n">
        <f aca="false">F23/F22*100</f>
        <v>98.6541031199805</v>
      </c>
      <c r="O44" s="16" t="n">
        <f aca="false">G23/G22*100</f>
        <v>100.904392764858</v>
      </c>
      <c r="P44" s="9"/>
      <c r="Q44" s="9"/>
      <c r="R44" s="9"/>
      <c r="ER44" s="9"/>
      <c r="ES44" s="9"/>
      <c r="ET44" s="9"/>
    </row>
    <row r="45" customFormat="false" ht="15" hidden="false" customHeight="false" outlineLevel="0" collapsed="false">
      <c r="A45" s="10" t="s">
        <v>21</v>
      </c>
      <c r="B45" s="16" t="n">
        <f aca="false">B24/$B$20*100</f>
        <v>102.274424271474</v>
      </c>
      <c r="C45" s="16" t="n">
        <f aca="false">C24/$C$20*100</f>
        <v>101.461442015437</v>
      </c>
      <c r="D45" s="16" t="n">
        <f aca="false">D24/$D$20*100</f>
        <v>95.3693439736767</v>
      </c>
      <c r="E45" s="16" t="n">
        <f aca="false">E24/$E$20*100</f>
        <v>105.350182710626</v>
      </c>
      <c r="F45" s="16" t="n">
        <f aca="false">F24/$F$20*100</f>
        <v>102.358983929935</v>
      </c>
      <c r="G45" s="16" t="n">
        <f aca="false">G24/$G$20*100</f>
        <v>115.305580159433</v>
      </c>
      <c r="H45" s="9"/>
      <c r="I45" s="10" t="s">
        <v>21</v>
      </c>
      <c r="J45" s="18" t="n">
        <f aca="false">B24/B23*100</f>
        <v>102.033441330201</v>
      </c>
      <c r="K45" s="16" t="n">
        <f aca="false">C24/C23*100</f>
        <v>101.14245595883</v>
      </c>
      <c r="L45" s="16" t="n">
        <f aca="false">D24/D23*100</f>
        <v>98.8582183839319</v>
      </c>
      <c r="M45" s="16" t="n">
        <f aca="false">E24/E23*100</f>
        <v>103.32847936496</v>
      </c>
      <c r="N45" s="16" t="n">
        <f aca="false">F24/F23*100</f>
        <v>102.908170810145</v>
      </c>
      <c r="O45" s="16" t="n">
        <f aca="false">G24/G23*100</f>
        <v>106.848550510522</v>
      </c>
      <c r="P45" s="9"/>
      <c r="Q45" s="9"/>
      <c r="R45" s="9"/>
      <c r="ER45" s="9"/>
      <c r="ES45" s="9"/>
      <c r="ET45" s="9"/>
    </row>
    <row r="46" customFormat="false" ht="15" hidden="false" customHeight="false" outlineLevel="0" collapsed="false">
      <c r="A46" s="10" t="s">
        <v>22</v>
      </c>
      <c r="B46" s="21" t="n">
        <f aca="false">B25/$B$20*100</f>
        <v>103.878140495863</v>
      </c>
      <c r="C46" s="16" t="n">
        <f aca="false">C25/$C$20*100</f>
        <v>103.670206912823</v>
      </c>
      <c r="D46" s="19" t="n">
        <f aca="false">D25/$D$20*100</f>
        <v>97.9695737007629</v>
      </c>
      <c r="E46" s="21" t="n">
        <f aca="false">E25/$E$20*100</f>
        <v>106.94637057236</v>
      </c>
      <c r="F46" s="16" t="n">
        <f aca="false">F25/$F$20*100</f>
        <v>102.563622951965</v>
      </c>
      <c r="G46" s="16" t="n">
        <f aca="false">G25/$G$20*100</f>
        <v>116.836138175376</v>
      </c>
      <c r="H46" s="9"/>
      <c r="I46" s="10" t="s">
        <v>22</v>
      </c>
      <c r="J46" s="18" t="n">
        <f aca="false">B25/B24*100</f>
        <v>101.568052067575</v>
      </c>
      <c r="K46" s="16" t="n">
        <f aca="false">C25/C24*100</f>
        <v>102.176950034921</v>
      </c>
      <c r="L46" s="16" t="n">
        <f aca="false">D25/D24*100</f>
        <v>102.726483814132</v>
      </c>
      <c r="M46" s="16" t="n">
        <f aca="false">E25/E24*100</f>
        <v>101.515125859932</v>
      </c>
      <c r="N46" s="16" t="n">
        <f aca="false">F25/F24*100</f>
        <v>100.19992287357</v>
      </c>
      <c r="O46" s="16" t="n">
        <f aca="false">G25/G24*100</f>
        <v>101.327392840682</v>
      </c>
      <c r="P46" s="9"/>
      <c r="Q46" s="9"/>
      <c r="R46" s="9"/>
      <c r="ER46" s="9"/>
      <c r="ES46" s="9"/>
      <c r="ET46" s="9"/>
    </row>
    <row r="47" customFormat="false" ht="15" hidden="false" customHeight="false" outlineLevel="0" collapsed="false">
      <c r="A47" s="10" t="s">
        <v>23</v>
      </c>
      <c r="B47" s="16" t="n">
        <f aca="false">B26/$B$20*100</f>
        <v>104.568512114727</v>
      </c>
      <c r="C47" s="16" t="n">
        <f aca="false">C26/$C$20*100</f>
        <v>103.387333776794</v>
      </c>
      <c r="D47" s="16" t="n">
        <f aca="false">D26/$D$20*100</f>
        <v>101.250959286141</v>
      </c>
      <c r="E47" s="16" t="n">
        <f aca="false">E26/$E$20*100</f>
        <v>108.37287704411</v>
      </c>
      <c r="F47" s="16" t="n">
        <f aca="false">F26/$F$20*100</f>
        <v>102.29384591287</v>
      </c>
      <c r="G47" s="21" t="n">
        <f aca="false">G26/$G$20*100</f>
        <v>117.091231178034</v>
      </c>
      <c r="H47" s="9"/>
      <c r="I47" s="10" t="s">
        <v>23</v>
      </c>
      <c r="J47" s="18" t="n">
        <f aca="false">B26/B25*100</f>
        <v>100.664597590569</v>
      </c>
      <c r="K47" s="19" t="n">
        <f aca="false">C26/C25*100</f>
        <v>99.7271413413231</v>
      </c>
      <c r="L47" s="16" t="n">
        <f aca="false">D26/D25*100</f>
        <v>103.349392532217</v>
      </c>
      <c r="M47" s="16" t="n">
        <f aca="false">E26/E25*100</f>
        <v>101.33385215797</v>
      </c>
      <c r="N47" s="16" t="n">
        <f aca="false">F26/F25*100</f>
        <v>99.7369661568787</v>
      </c>
      <c r="O47" s="16" t="n">
        <f aca="false">G26/G25*100</f>
        <v>100.218333990357</v>
      </c>
      <c r="P47" s="9"/>
      <c r="Q47" s="9"/>
      <c r="R47" s="9"/>
      <c r="ER47" s="9"/>
      <c r="ES47" s="9"/>
      <c r="ET47" s="9"/>
    </row>
    <row r="48" customFormat="false" ht="15" hidden="false" customHeight="false" outlineLevel="0" collapsed="false">
      <c r="A48" s="10" t="s">
        <v>24</v>
      </c>
      <c r="B48" s="21" t="n">
        <f aca="false">B27/$B$20*100</f>
        <v>107.98915577851</v>
      </c>
      <c r="C48" s="16" t="n">
        <f aca="false">C27/$C$20*100</f>
        <v>104.551968110523</v>
      </c>
      <c r="D48" s="16" t="n">
        <f aca="false">D27/$D$20*100</f>
        <v>110.504998319682</v>
      </c>
      <c r="E48" s="16" t="n">
        <f aca="false">E27/$E$20*100</f>
        <v>111.642560370601</v>
      </c>
      <c r="F48" s="16" t="n">
        <f aca="false">F27/$F$20*100</f>
        <v>103.090300014312</v>
      </c>
      <c r="G48" s="16" t="n">
        <f aca="false">G27/$G$20*100</f>
        <v>207.348095659876</v>
      </c>
      <c r="H48" s="9"/>
      <c r="I48" s="10" t="s">
        <v>24</v>
      </c>
      <c r="J48" s="18" t="n">
        <f aca="false">B27/B26*100</f>
        <v>103.271198561217</v>
      </c>
      <c r="K48" s="16" t="n">
        <f aca="false">C27/C26*100</f>
        <v>101.126476804445</v>
      </c>
      <c r="L48" s="21" t="n">
        <f aca="false">D27/D26*100</f>
        <v>109.13970504456</v>
      </c>
      <c r="M48" s="16" t="n">
        <f aca="false">E27/E26*100</f>
        <v>103.017067937728</v>
      </c>
      <c r="N48" s="16" t="n">
        <f aca="false">F27/F26*100</f>
        <v>100.778594346839</v>
      </c>
      <c r="O48" s="16" t="n">
        <f aca="false">G27/G26*100</f>
        <v>177.082513843081</v>
      </c>
      <c r="P48" s="9"/>
      <c r="Q48" s="9" t="s">
        <v>9</v>
      </c>
      <c r="R48" s="9"/>
      <c r="ER48" s="9"/>
      <c r="ES48" s="9"/>
      <c r="ET48" s="9"/>
    </row>
    <row r="49" customFormat="false" ht="15" hidden="false" customHeight="false" outlineLevel="0" collapsed="false">
      <c r="A49" s="10" t="s">
        <v>25</v>
      </c>
      <c r="B49" s="16" t="n">
        <f aca="false">B28/$B$20*100</f>
        <v>112.413195758246</v>
      </c>
      <c r="C49" s="16" t="n">
        <f aca="false">C28/$C$20*100</f>
        <v>106.415634597426</v>
      </c>
      <c r="D49" s="21" t="n">
        <f aca="false">D28/$D$20*100</f>
        <v>118.803513119022</v>
      </c>
      <c r="E49" s="16" t="n">
        <f aca="false">E28/$E$20*100</f>
        <v>118.352757461196</v>
      </c>
      <c r="F49" s="21" t="n">
        <f aca="false">F28/$F$20*100</f>
        <v>107.747404409797</v>
      </c>
      <c r="G49" s="16" t="n">
        <f aca="false">G28/$G$20*100</f>
        <v>212.938883968113</v>
      </c>
      <c r="H49" s="9"/>
      <c r="I49" s="10" t="s">
        <v>25</v>
      </c>
      <c r="J49" s="18" t="n">
        <f aca="false">B28/B27*100</f>
        <v>104.096744666483</v>
      </c>
      <c r="K49" s="16" t="n">
        <f aca="false">C28/C27*100</f>
        <v>101.78252645128</v>
      </c>
      <c r="L49" s="16" t="n">
        <f aca="false">D28/D27*100</f>
        <v>107.509628456202</v>
      </c>
      <c r="M49" s="16" t="n">
        <f aca="false">E28/E27*100</f>
        <v>106.010429238026</v>
      </c>
      <c r="N49" s="21" t="n">
        <f aca="false">F28/F27*100</f>
        <v>104.517500089571</v>
      </c>
      <c r="O49" s="16" t="n">
        <f aca="false">G28/G27*100</f>
        <v>102.696329710888</v>
      </c>
      <c r="P49" s="9"/>
      <c r="Q49" s="9"/>
      <c r="R49" s="9"/>
      <c r="ER49" s="9"/>
      <c r="ES49" s="9"/>
      <c r="ET49" s="9"/>
    </row>
    <row r="50" customFormat="false" ht="15" hidden="false" customHeight="false" outlineLevel="0" collapsed="false">
      <c r="A50" s="10" t="s">
        <v>26</v>
      </c>
      <c r="B50" s="16" t="n">
        <f aca="false">B29/$B$20*100</f>
        <v>116.362494549317</v>
      </c>
      <c r="C50" s="16" t="n">
        <f aca="false">C29/$C$20*100</f>
        <v>110.473629569341</v>
      </c>
      <c r="D50" s="16" t="n">
        <f aca="false">D29/$D$20*100</f>
        <v>128.198999834476</v>
      </c>
      <c r="E50" s="16" t="n">
        <f aca="false">E29/$E$20*100</f>
        <v>125.490938634509</v>
      </c>
      <c r="F50" s="16" t="n">
        <f aca="false">F29/$F$20*100</f>
        <v>108.467254495721</v>
      </c>
      <c r="G50" s="16" t="n">
        <f aca="false">G29/$G$20*100</f>
        <v>214.015943312666</v>
      </c>
      <c r="H50" s="9"/>
      <c r="I50" s="10" t="s">
        <v>26</v>
      </c>
      <c r="J50" s="18" t="n">
        <f aca="false">B29/B28*100</f>
        <v>103.513198574627</v>
      </c>
      <c r="K50" s="21" t="n">
        <f aca="false">C29/C28*100</f>
        <v>103.813344709419</v>
      </c>
      <c r="L50" s="16" t="n">
        <f aca="false">D29/D28*100</f>
        <v>107.908424985751</v>
      </c>
      <c r="M50" s="16" t="n">
        <f aca="false">E29/E28*100</f>
        <v>106.031275761068</v>
      </c>
      <c r="N50" s="16" t="n">
        <f aca="false">F29/F28*100</f>
        <v>100.668090419316</v>
      </c>
      <c r="O50" s="16" t="n">
        <f aca="false">G29/G28*100</f>
        <v>100.505806795115</v>
      </c>
      <c r="P50" s="9"/>
      <c r="Q50" s="9"/>
      <c r="R50" s="9"/>
      <c r="ER50" s="9"/>
      <c r="ES50" s="9"/>
      <c r="ET50" s="9"/>
    </row>
    <row r="51" customFormat="false" ht="15" hidden="false" customHeight="false" outlineLevel="0" collapsed="false">
      <c r="A51" s="10" t="s">
        <v>27</v>
      </c>
      <c r="B51" s="16" t="n">
        <f aca="false">B30/$B$20*100</f>
        <v>118.784790370236</v>
      </c>
      <c r="C51" s="21" t="n">
        <f aca="false">C30/$C$20*100</f>
        <v>110.973687067155</v>
      </c>
      <c r="D51" s="16" t="n">
        <f aca="false">D30/$D$20*100</f>
        <v>133.843113454082</v>
      </c>
      <c r="E51" s="16" t="n">
        <f aca="false">E30/$E$20*100</f>
        <v>128.67793070825</v>
      </c>
      <c r="F51" s="16" t="n">
        <f aca="false">F30/$F$20*100</f>
        <v>110.594523284218</v>
      </c>
      <c r="G51" s="16" t="n">
        <f aca="false">G30/$G$20*100</f>
        <v>218.023029229407</v>
      </c>
      <c r="H51" s="9"/>
      <c r="I51" s="10" t="s">
        <v>27</v>
      </c>
      <c r="J51" s="18" t="n">
        <f aca="false">B30/B29*100</f>
        <v>102.081680897527</v>
      </c>
      <c r="K51" s="16" t="n">
        <f aca="false">C30/C29*100</f>
        <v>100.452648745011</v>
      </c>
      <c r="L51" s="16" t="n">
        <f aca="false">D30/D29*100</f>
        <v>104.402619074169</v>
      </c>
      <c r="M51" s="16" t="n">
        <f aca="false">E30/E29*100</f>
        <v>102.539619281216</v>
      </c>
      <c r="N51" s="16" t="n">
        <f aca="false">F30/F29*100</f>
        <v>101.961208291283</v>
      </c>
      <c r="O51" s="16" t="n">
        <f aca="false">G30/G29*100</f>
        <v>101.872330563189</v>
      </c>
      <c r="P51" s="9"/>
      <c r="Q51" s="9"/>
      <c r="R51" s="9"/>
      <c r="ER51" s="9"/>
      <c r="ES51" s="9"/>
      <c r="ET51" s="9"/>
    </row>
    <row r="52" customFormat="false" ht="15" hidden="false" customHeight="false" outlineLevel="0" collapsed="false">
      <c r="A52" s="10" t="s">
        <v>28</v>
      </c>
      <c r="B52" s="16" t="n">
        <f aca="false">B31/$B$20*100</f>
        <v>120.160149960357</v>
      </c>
      <c r="C52" s="16" t="n">
        <f aca="false">C31/$C$20*100</f>
        <v>111.816891271634</v>
      </c>
      <c r="D52" s="16" t="n">
        <f aca="false">D31/$D$20*100</f>
        <v>142.835825387351</v>
      </c>
      <c r="E52" s="21" t="n">
        <f aca="false">E31/$E$20*100</f>
        <v>130.748940405328</v>
      </c>
      <c r="F52" s="16" t="n">
        <f aca="false">F31/$F$20*100</f>
        <v>109.056609187668</v>
      </c>
      <c r="G52" s="16" t="n">
        <f aca="false">G31/$G$20*100</f>
        <v>211.479185119575</v>
      </c>
      <c r="H52" s="9"/>
      <c r="I52" s="10" t="s">
        <v>28</v>
      </c>
      <c r="J52" s="18" t="n">
        <f aca="false">B31/B30*100</f>
        <v>101.157858330039</v>
      </c>
      <c r="K52" s="16" t="n">
        <f aca="false">C31/C30*100</f>
        <v>100.75982354625</v>
      </c>
      <c r="L52" s="16" t="n">
        <f aca="false">D31/D30*100</f>
        <v>106.71884544613</v>
      </c>
      <c r="M52" s="16" t="n">
        <f aca="false">E31/E30*100</f>
        <v>101.609452130353</v>
      </c>
      <c r="N52" s="16" t="n">
        <f aca="false">F31/F30*100</f>
        <v>98.6094120659143</v>
      </c>
      <c r="O52" s="21" t="n">
        <f aca="false">G31/G30*100</f>
        <v>96.9985537156507</v>
      </c>
      <c r="P52" s="9"/>
      <c r="Q52" s="9"/>
      <c r="R52" s="9"/>
      <c r="ER52" s="9"/>
      <c r="ES52" s="9"/>
      <c r="ET52" s="9"/>
    </row>
    <row r="53" customFormat="false" ht="15" hidden="false" customHeight="false" outlineLevel="0" collapsed="false">
      <c r="A53" s="10" t="s">
        <v>29</v>
      </c>
      <c r="B53" s="16" t="n">
        <f aca="false">B32/$B$20*100</f>
        <v>123.499021469164</v>
      </c>
      <c r="C53" s="16" t="n">
        <f aca="false">C32/$C$20*100</f>
        <v>113.033657782924</v>
      </c>
      <c r="D53" s="16" t="n">
        <f aca="false">D32/$D$20*100</f>
        <v>147.178570174603</v>
      </c>
      <c r="E53" s="16" t="n">
        <f aca="false">E32/$E$20*100</f>
        <v>134.402606522139</v>
      </c>
      <c r="F53" s="16" t="n">
        <f aca="false">F32/$F$20*100</f>
        <v>111.245790810625</v>
      </c>
      <c r="G53" s="16" t="n">
        <f aca="false">G32/$G$20*100</f>
        <v>216.58813108946</v>
      </c>
      <c r="H53" s="9"/>
      <c r="I53" s="10" t="s">
        <v>29</v>
      </c>
      <c r="J53" s="22" t="n">
        <f aca="false">B32/B31*100</f>
        <v>102.77868453885</v>
      </c>
      <c r="K53" s="16" t="n">
        <f aca="false">C32/C31*100</f>
        <v>101.088177731873</v>
      </c>
      <c r="L53" s="16" t="n">
        <f aca="false">D32/D31*100</f>
        <v>103.040375042798</v>
      </c>
      <c r="M53" s="21" t="n">
        <f aca="false">E32/E31*100</f>
        <v>102.794413557375</v>
      </c>
      <c r="N53" s="16" t="n">
        <f aca="false">F32/F31*100</f>
        <v>102.007380973298</v>
      </c>
      <c r="O53" s="16" t="n">
        <f aca="false">G32/G31*100</f>
        <v>102.415815044396</v>
      </c>
      <c r="P53" s="9"/>
      <c r="Q53" s="9"/>
      <c r="R53" s="9"/>
      <c r="ER53" s="9"/>
      <c r="ES53" s="9"/>
      <c r="ET53" s="9"/>
    </row>
    <row r="54" customFormat="false" ht="15" hidden="false" customHeight="false" outlineLevel="0" collapsed="false">
      <c r="A54" s="10" t="s">
        <v>30</v>
      </c>
      <c r="B54" s="16" t="n">
        <f aca="false">B33/$B$20*100</f>
        <v>126.269486152734</v>
      </c>
      <c r="C54" s="16" t="n">
        <f aca="false">C33/$C$20*100</f>
        <v>115.597149496299</v>
      </c>
      <c r="D54" s="16" t="n">
        <f aca="false">D33/$D$20*100</f>
        <v>152.741426615237</v>
      </c>
      <c r="E54" s="16" t="n">
        <f aca="false">E33/$E$20*100</f>
        <v>139.085080066523</v>
      </c>
      <c r="F54" s="16" t="n">
        <f aca="false">F33/$F$20*100</f>
        <v>112.689925608555</v>
      </c>
      <c r="G54" s="16" t="n">
        <f aca="false">G33/$G$20*100</f>
        <v>288.726306465899</v>
      </c>
      <c r="H54" s="9"/>
      <c r="I54" s="10" t="s">
        <v>30</v>
      </c>
      <c r="J54" s="18" t="n">
        <f aca="false">B33/B32*100</f>
        <v>102.243309016227</v>
      </c>
      <c r="K54" s="16" t="n">
        <f aca="false">C33/C32*100</f>
        <v>102.26790122841</v>
      </c>
      <c r="L54" s="16" t="n">
        <f aca="false">D33/D32*100</f>
        <v>103.779664684903</v>
      </c>
      <c r="M54" s="16" t="n">
        <f aca="false">E33/E32*100</f>
        <v>103.483915725706</v>
      </c>
      <c r="N54" s="16" t="n">
        <f aca="false">F33/F32*100</f>
        <v>101.298147810723</v>
      </c>
      <c r="O54" s="16" t="n">
        <f aca="false">G33/G32*100</f>
        <v>133.306615193352</v>
      </c>
      <c r="P54" s="9"/>
      <c r="Q54" s="9"/>
      <c r="R54" s="9"/>
      <c r="ER54" s="9"/>
      <c r="ES54" s="9"/>
      <c r="ET54" s="9"/>
    </row>
    <row r="55" customFormat="false" ht="15" hidden="false" customHeight="false" outlineLevel="0" collapsed="false">
      <c r="A55" s="10" t="s">
        <v>31</v>
      </c>
      <c r="B55" s="16" t="n">
        <f aca="false">B34/$B$20*100</f>
        <v>127.814076102313</v>
      </c>
      <c r="C55" s="16" t="n">
        <f aca="false">C34/$C$20*100</f>
        <v>117.218073595219</v>
      </c>
      <c r="D55" s="16" t="n">
        <f aca="false">D34/$D$20*100</f>
        <v>155.627812025059</v>
      </c>
      <c r="E55" s="16" t="n">
        <f aca="false">E34/$E$20*100</f>
        <v>137.408523153189</v>
      </c>
      <c r="F55" s="16" t="n">
        <f aca="false">F34/$F$20*100</f>
        <v>113.897175487047</v>
      </c>
      <c r="G55" s="16" t="n">
        <f aca="false">G34/$G$20*100</f>
        <v>290.745792736935</v>
      </c>
      <c r="H55" s="9"/>
      <c r="I55" s="10" t="s">
        <v>31</v>
      </c>
      <c r="J55" s="18" t="n">
        <f aca="false">B34/B33*100</f>
        <v>101.223248780557</v>
      </c>
      <c r="K55" s="16" t="n">
        <f aca="false">C34/C33*100</f>
        <v>101.402218052939</v>
      </c>
      <c r="L55" s="16" t="n">
        <f aca="false">D34/D33*100</f>
        <v>101.88972008039</v>
      </c>
      <c r="M55" s="16" t="n">
        <f aca="false">E34/E33*100</f>
        <v>98.794581767842</v>
      </c>
      <c r="N55" s="16" t="n">
        <f aca="false">F34/F33*100</f>
        <v>101.07130240079</v>
      </c>
      <c r="O55" s="16" t="n">
        <f aca="false">G34/G33*100</f>
        <v>100.699446578234</v>
      </c>
      <c r="P55" s="9"/>
      <c r="Q55" s="9"/>
      <c r="R55" s="9"/>
      <c r="ER55" s="9"/>
      <c r="ES55" s="9"/>
      <c r="ET55" s="9"/>
    </row>
    <row r="56" customFormat="false" ht="15" hidden="false" customHeight="false" outlineLevel="0" collapsed="false">
      <c r="A56" s="10" t="s">
        <v>32</v>
      </c>
      <c r="B56" s="16" t="n">
        <f aca="false">B35/$B$20*100</f>
        <v>132.293215793638</v>
      </c>
      <c r="C56" s="16" t="n">
        <f aca="false">C35/$C$20*100</f>
        <v>131.305787749793</v>
      </c>
      <c r="D56" s="16" t="n">
        <f aca="false">D35/$D$20*100</f>
        <v>162.803523150772</v>
      </c>
      <c r="E56" s="16" t="n">
        <f aca="false">E35/$E$20*100</f>
        <v>138.381670070821</v>
      </c>
      <c r="F56" s="16" t="n">
        <f aca="false">F35/$F$20*100</f>
        <v>113.89520124843</v>
      </c>
      <c r="G56" s="16" t="n">
        <f aca="false">G35/$G$20*100</f>
        <v>286.784765279008</v>
      </c>
      <c r="H56" s="9"/>
      <c r="I56" s="10" t="s">
        <v>32</v>
      </c>
      <c r="J56" s="18" t="n">
        <f aca="false">B35/B34*100</f>
        <v>103.504418157934</v>
      </c>
      <c r="K56" s="16" t="n">
        <f aca="false">C35/C34*100</f>
        <v>112.018380547032</v>
      </c>
      <c r="L56" s="16" t="n">
        <f aca="false">D35/D34*100</f>
        <v>104.6108154014</v>
      </c>
      <c r="M56" s="16" t="n">
        <f aca="false">E35/E34*100</f>
        <v>100.708214378046</v>
      </c>
      <c r="N56" s="16" t="n">
        <f aca="false">F35/F34*100</f>
        <v>99.9982666483094</v>
      </c>
      <c r="O56" s="16" t="n">
        <f aca="false">G35/G34*100</f>
        <v>98.637632063171</v>
      </c>
      <c r="P56" s="9"/>
      <c r="Q56" s="9"/>
      <c r="R56" s="9"/>
      <c r="ER56" s="9"/>
      <c r="ES56" s="9"/>
      <c r="ET56" s="9"/>
    </row>
    <row r="57" customFormat="false" ht="15" hidden="false" customHeight="false" outlineLevel="0" collapsed="false">
      <c r="A57" s="9"/>
      <c r="B57" s="9"/>
      <c r="C57" s="9"/>
      <c r="D57" s="9"/>
      <c r="E57" s="9"/>
      <c r="F57" s="9"/>
      <c r="G57" s="9"/>
      <c r="H57" s="9"/>
      <c r="I57" s="9"/>
      <c r="J57" s="9"/>
      <c r="K57" s="9"/>
      <c r="L57" s="9"/>
      <c r="M57" s="9"/>
      <c r="N57" s="9"/>
      <c r="O57" s="9"/>
      <c r="P57" s="9"/>
      <c r="Q57" s="9"/>
      <c r="R57" s="9"/>
      <c r="S57" s="9"/>
      <c r="ER57" s="9"/>
      <c r="ES57" s="9"/>
      <c r="ET57" s="9"/>
    </row>
    <row r="58" customFormat="false" ht="15" hidden="false" customHeight="false" outlineLevel="0" collapsed="false">
      <c r="A58" s="9"/>
      <c r="B58" s="9"/>
      <c r="C58" s="9"/>
      <c r="D58" s="9"/>
      <c r="E58" s="9"/>
      <c r="F58" s="9"/>
      <c r="G58" s="9"/>
      <c r="H58" s="9"/>
      <c r="I58" s="9"/>
      <c r="J58" s="9"/>
      <c r="K58" s="9"/>
      <c r="L58" s="9"/>
      <c r="M58" s="9"/>
      <c r="N58" s="9"/>
      <c r="O58" s="9"/>
      <c r="P58" s="9"/>
      <c r="Q58" s="9"/>
      <c r="R58" s="9"/>
      <c r="S58" s="9"/>
      <c r="ER58" s="9"/>
      <c r="ES58" s="9"/>
      <c r="ET58" s="9"/>
    </row>
    <row r="59" customFormat="false" ht="15" hidden="false" customHeight="false" outlineLevel="0" collapsed="false">
      <c r="A59" s="9"/>
      <c r="B59" s="9"/>
      <c r="C59" s="9"/>
      <c r="D59" s="9"/>
      <c r="E59" s="9"/>
      <c r="F59" s="9"/>
      <c r="G59" s="9"/>
      <c r="H59" s="9"/>
      <c r="I59" s="9"/>
      <c r="J59" s="9"/>
      <c r="K59" s="9"/>
      <c r="L59" s="9"/>
      <c r="M59" s="9"/>
      <c r="N59" s="9"/>
      <c r="O59" s="9"/>
      <c r="P59" s="9"/>
      <c r="Q59" s="9"/>
      <c r="R59" s="9"/>
      <c r="S59" s="9"/>
      <c r="ER59" s="9"/>
      <c r="ES59" s="9"/>
      <c r="ET59" s="9"/>
      <c r="EU59" s="9"/>
    </row>
    <row r="60" customFormat="false" ht="15" hidden="false" customHeight="false" outlineLevel="0" collapsed="false">
      <c r="A60" s="9"/>
      <c r="B60" s="9"/>
      <c r="C60" s="9"/>
      <c r="D60" s="9"/>
      <c r="E60" s="9"/>
      <c r="F60" s="9"/>
      <c r="G60" s="9"/>
      <c r="H60" s="9"/>
      <c r="I60" s="9"/>
      <c r="J60" s="9"/>
      <c r="K60" s="9"/>
      <c r="L60" s="9"/>
      <c r="M60" s="9"/>
      <c r="N60" s="9"/>
      <c r="O60" s="9"/>
      <c r="P60" s="9"/>
      <c r="Q60" s="9"/>
      <c r="R60" s="9"/>
      <c r="S60" s="9"/>
      <c r="ER60" s="9"/>
      <c r="ES60" s="9"/>
      <c r="ET60" s="9"/>
      <c r="EU60" s="9"/>
    </row>
    <row r="61" customFormat="false" ht="15" hidden="false" customHeight="false" outlineLevel="0" collapsed="false">
      <c r="A61" s="14" t="s">
        <v>36</v>
      </c>
      <c r="B61" s="15"/>
      <c r="C61" s="15"/>
      <c r="D61" s="15"/>
      <c r="E61" s="15"/>
      <c r="F61" s="15"/>
      <c r="G61" s="23"/>
      <c r="H61" s="23"/>
      <c r="I61" s="23"/>
      <c r="J61" s="23"/>
      <c r="K61" s="23"/>
      <c r="L61" s="23"/>
      <c r="M61" s="23"/>
      <c r="ER61" s="9"/>
      <c r="ES61" s="9"/>
      <c r="ET61" s="9"/>
      <c r="EU61" s="9"/>
    </row>
    <row r="62" customFormat="false" ht="15" hidden="false" customHeight="false" outlineLevel="0" collapsed="false">
      <c r="A62" s="15"/>
      <c r="B62" s="15"/>
      <c r="C62" s="15"/>
      <c r="D62" s="15"/>
      <c r="E62" s="15"/>
      <c r="F62" s="15"/>
      <c r="G62" s="23"/>
      <c r="H62" s="23"/>
      <c r="I62" s="14"/>
      <c r="J62" s="15"/>
      <c r="L62" s="15"/>
      <c r="M62" s="15"/>
      <c r="N62" s="15"/>
      <c r="O62" s="15"/>
      <c r="ER62" s="9"/>
      <c r="ES62" s="9"/>
      <c r="ET62" s="9"/>
      <c r="EU62" s="9"/>
    </row>
    <row r="63" customFormat="false" ht="15" hidden="false" customHeight="false" outlineLevel="0" collapsed="false">
      <c r="A63" s="6" t="s">
        <v>10</v>
      </c>
      <c r="B63" s="7" t="s">
        <v>11</v>
      </c>
      <c r="C63" s="7" t="s">
        <v>12</v>
      </c>
      <c r="D63" s="7" t="s">
        <v>13</v>
      </c>
      <c r="E63" s="7" t="s">
        <v>14</v>
      </c>
      <c r="F63" s="7" t="s">
        <v>15</v>
      </c>
      <c r="G63" s="7" t="s">
        <v>16</v>
      </c>
      <c r="I63" s="15"/>
      <c r="J63" s="15"/>
      <c r="K63" s="15"/>
      <c r="L63" s="15"/>
      <c r="M63" s="15"/>
      <c r="N63" s="15"/>
      <c r="O63" s="15"/>
    </row>
    <row r="64" customFormat="false" ht="15" hidden="false" customHeight="false" outlineLevel="0" collapsed="false">
      <c r="A64" s="24" t="s">
        <v>17</v>
      </c>
      <c r="B64" s="24" t="s">
        <v>35</v>
      </c>
      <c r="C64" s="24" t="s">
        <v>35</v>
      </c>
      <c r="D64" s="24" t="s">
        <v>35</v>
      </c>
      <c r="E64" s="24" t="s">
        <v>35</v>
      </c>
      <c r="F64" s="24" t="s">
        <v>35</v>
      </c>
      <c r="G64" s="24" t="s">
        <v>35</v>
      </c>
      <c r="I64" s="14"/>
      <c r="J64" s="25"/>
      <c r="K64" s="25"/>
      <c r="L64" s="25"/>
      <c r="M64" s="25"/>
      <c r="N64" s="25"/>
      <c r="O64" s="25"/>
    </row>
    <row r="65" customFormat="false" ht="15" hidden="false" customHeight="false" outlineLevel="0" collapsed="false">
      <c r="A65" s="24" t="s">
        <v>18</v>
      </c>
      <c r="B65" s="26" t="n">
        <f aca="false">(B42/B41)*100</f>
        <v>101.318222017456</v>
      </c>
      <c r="C65" s="26" t="n">
        <f aca="false">(C42/C41)*100</f>
        <v>101.137632666293</v>
      </c>
      <c r="D65" s="26" t="n">
        <f aca="false">(D42/D41)*100</f>
        <v>100.320514428165</v>
      </c>
      <c r="E65" s="26" t="n">
        <f aca="false">(E42/E41)*100</f>
        <v>102.65615617534</v>
      </c>
      <c r="F65" s="26" t="n">
        <f aca="false">(F42/F41)*100</f>
        <v>100.869815148422</v>
      </c>
      <c r="G65" s="26" t="n">
        <f aca="false">(G42/G41)*100</f>
        <v>106.862710363153</v>
      </c>
      <c r="I65" s="15"/>
      <c r="J65" s="15"/>
      <c r="K65" s="15"/>
      <c r="L65" s="15"/>
      <c r="M65" s="15"/>
      <c r="N65" s="15"/>
      <c r="O65" s="15"/>
    </row>
    <row r="66" customFormat="false" ht="15" hidden="false" customHeight="false" outlineLevel="0" collapsed="false">
      <c r="A66" s="24" t="s">
        <v>19</v>
      </c>
      <c r="B66" s="26" t="n">
        <f aca="false">(B43/B42)*100</f>
        <v>99.883530066992</v>
      </c>
      <c r="C66" s="26" t="n">
        <f aca="false">(C43/C42)*100</f>
        <v>98.8151639169766</v>
      </c>
      <c r="D66" s="26" t="n">
        <f aca="false">(D43/D42)*100</f>
        <v>97.8220653380399</v>
      </c>
      <c r="E66" s="26" t="n">
        <f aca="false">(E43/E42)*100</f>
        <v>100.229326883564</v>
      </c>
      <c r="F66" s="26" t="n">
        <f aca="false">(F43/F42)*100</f>
        <v>99.9538967258447</v>
      </c>
      <c r="G66" s="26" t="n">
        <f aca="false">(G43/G42)*100</f>
        <v>100.079570320271</v>
      </c>
      <c r="I66" s="15"/>
      <c r="J66" s="15"/>
      <c r="K66" s="15"/>
      <c r="L66" s="15"/>
      <c r="M66" s="15"/>
      <c r="N66" s="15"/>
      <c r="O66" s="15"/>
    </row>
    <row r="67" customFormat="false" ht="15" hidden="false" customHeight="false" outlineLevel="0" collapsed="false">
      <c r="A67" s="24" t="s">
        <v>20</v>
      </c>
      <c r="B67" s="26" t="n">
        <f aca="false">(B44/B43)*100</f>
        <v>99.0473969021874</v>
      </c>
      <c r="C67" s="26" t="n">
        <f aca="false">(C44/C43)*100</f>
        <v>100.376293788883</v>
      </c>
      <c r="D67" s="26" t="n">
        <f aca="false">(D44/D43)*100</f>
        <v>98.3036033733708</v>
      </c>
      <c r="E67" s="26" t="n">
        <f aca="false">(E44/E43)*100</f>
        <v>99.0912809642022</v>
      </c>
      <c r="F67" s="26" t="n">
        <f aca="false">(F44/F43)*100</f>
        <v>98.6541031199805</v>
      </c>
      <c r="G67" s="26" t="n">
        <f aca="false">(G44/G43)*100</f>
        <v>100.904392764858</v>
      </c>
      <c r="I67" s="15"/>
      <c r="J67" s="15"/>
      <c r="K67" s="15"/>
      <c r="L67" s="15"/>
      <c r="M67" s="15"/>
      <c r="N67" s="15"/>
      <c r="O67" s="15"/>
    </row>
    <row r="68" customFormat="false" ht="15" hidden="false" customHeight="false" outlineLevel="0" collapsed="false">
      <c r="A68" s="24" t="s">
        <v>21</v>
      </c>
      <c r="B68" s="26" t="n">
        <f aca="false">(B45/B44)*100</f>
        <v>102.033441330201</v>
      </c>
      <c r="C68" s="26" t="n">
        <f aca="false">(C45/C44)*100</f>
        <v>101.14245595883</v>
      </c>
      <c r="D68" s="26" t="n">
        <f aca="false">(D45/D44)*100</f>
        <v>98.8582183839319</v>
      </c>
      <c r="E68" s="26" t="n">
        <f aca="false">(E45/E44)*100</f>
        <v>103.32847936496</v>
      </c>
      <c r="F68" s="26" t="n">
        <f aca="false">(F45/F44)*100</f>
        <v>102.908170810145</v>
      </c>
      <c r="G68" s="26" t="n">
        <f aca="false">(G45/G44)*100</f>
        <v>106.848550510522</v>
      </c>
      <c r="I68" s="15"/>
      <c r="J68" s="15"/>
      <c r="K68" s="15"/>
      <c r="L68" s="15"/>
      <c r="M68" s="15"/>
      <c r="N68" s="15"/>
      <c r="O68" s="15"/>
    </row>
    <row r="69" customFormat="false" ht="15" hidden="false" customHeight="false" outlineLevel="0" collapsed="false">
      <c r="A69" s="24" t="s">
        <v>22</v>
      </c>
      <c r="B69" s="26" t="n">
        <f aca="false">(B46/B45)*100</f>
        <v>101.568052067575</v>
      </c>
      <c r="C69" s="26" t="n">
        <f aca="false">(C46/C45)*100</f>
        <v>102.176950034921</v>
      </c>
      <c r="D69" s="26" t="n">
        <f aca="false">(D46/D45)*100</f>
        <v>102.726483814132</v>
      </c>
      <c r="E69" s="26" t="n">
        <f aca="false">(E46/E45)*100</f>
        <v>101.515125859932</v>
      </c>
      <c r="F69" s="26" t="n">
        <f aca="false">(F46/F45)*100</f>
        <v>100.19992287357</v>
      </c>
      <c r="G69" s="26" t="n">
        <f aca="false">(G46/G45)*100</f>
        <v>101.327392840682</v>
      </c>
      <c r="I69" s="15"/>
      <c r="J69" s="15"/>
      <c r="K69" s="15"/>
      <c r="L69" s="15"/>
      <c r="M69" s="15"/>
      <c r="N69" s="15"/>
      <c r="O69" s="15"/>
    </row>
    <row r="70" customFormat="false" ht="15" hidden="false" customHeight="false" outlineLevel="0" collapsed="false">
      <c r="A70" s="24" t="s">
        <v>23</v>
      </c>
      <c r="B70" s="26" t="n">
        <f aca="false">(B47/B46)*100</f>
        <v>100.664597590569</v>
      </c>
      <c r="C70" s="26" t="n">
        <f aca="false">(C47/C46)*100</f>
        <v>99.7271413413231</v>
      </c>
      <c r="D70" s="26" t="n">
        <f aca="false">(D47/D46)*100</f>
        <v>103.349392532217</v>
      </c>
      <c r="E70" s="26" t="n">
        <f aca="false">(E47/E46)*100</f>
        <v>101.33385215797</v>
      </c>
      <c r="F70" s="26" t="n">
        <f aca="false">(F47/F46)*100</f>
        <v>99.7369661568787</v>
      </c>
      <c r="G70" s="26" t="n">
        <f aca="false">(G47/G46)*100</f>
        <v>100.218333990357</v>
      </c>
      <c r="I70" s="15"/>
      <c r="J70" s="15"/>
      <c r="K70" s="15"/>
      <c r="L70" s="15"/>
      <c r="M70" s="15"/>
      <c r="N70" s="15"/>
      <c r="O70" s="15"/>
    </row>
    <row r="71" customFormat="false" ht="15" hidden="false" customHeight="false" outlineLevel="0" collapsed="false">
      <c r="A71" s="24" t="s">
        <v>24</v>
      </c>
      <c r="B71" s="26" t="n">
        <f aca="false">(B48/B47)*100</f>
        <v>103.271198561217</v>
      </c>
      <c r="C71" s="26" t="n">
        <f aca="false">(C48/C47)*100</f>
        <v>101.126476804445</v>
      </c>
      <c r="D71" s="26" t="n">
        <f aca="false">(D48/D47)*100</f>
        <v>109.13970504456</v>
      </c>
      <c r="E71" s="26" t="n">
        <f aca="false">(E48/E47)*100</f>
        <v>103.017067937728</v>
      </c>
      <c r="F71" s="26" t="n">
        <f aca="false">(F48/F47)*100</f>
        <v>100.778594346839</v>
      </c>
      <c r="G71" s="26" t="n">
        <f aca="false">(G48/G47)*100</f>
        <v>177.082513843081</v>
      </c>
      <c r="I71" s="15"/>
      <c r="J71" s="15"/>
      <c r="K71" s="15"/>
      <c r="L71" s="15"/>
      <c r="M71" s="15"/>
      <c r="N71" s="15"/>
      <c r="O71" s="15"/>
    </row>
    <row r="72" customFormat="false" ht="15" hidden="false" customHeight="false" outlineLevel="0" collapsed="false">
      <c r="A72" s="24" t="s">
        <v>25</v>
      </c>
      <c r="B72" s="26" t="n">
        <f aca="false">(B49/B48)*100</f>
        <v>104.096744666483</v>
      </c>
      <c r="C72" s="26" t="n">
        <f aca="false">(C49/C48)*100</f>
        <v>101.78252645128</v>
      </c>
      <c r="D72" s="26" t="n">
        <f aca="false">(D49/D48)*100</f>
        <v>107.509628456202</v>
      </c>
      <c r="E72" s="26" t="n">
        <f aca="false">(E49/E48)*100</f>
        <v>106.010429238026</v>
      </c>
      <c r="F72" s="26" t="n">
        <f aca="false">(F49/F48)*100</f>
        <v>104.517500089571</v>
      </c>
      <c r="G72" s="26" t="n">
        <f aca="false">(G49/G48)*100</f>
        <v>102.696329710888</v>
      </c>
      <c r="I72" s="15"/>
      <c r="J72" s="15"/>
      <c r="K72" s="15"/>
      <c r="L72" s="15"/>
      <c r="M72" s="15"/>
      <c r="N72" s="15"/>
      <c r="O72" s="15"/>
    </row>
    <row r="73" customFormat="false" ht="15" hidden="false" customHeight="false" outlineLevel="0" collapsed="false">
      <c r="A73" s="24" t="s">
        <v>26</v>
      </c>
      <c r="B73" s="26" t="n">
        <f aca="false">(B50/B49)*100</f>
        <v>103.513198574627</v>
      </c>
      <c r="C73" s="26" t="n">
        <f aca="false">(C50/C49)*100</f>
        <v>103.813344709419</v>
      </c>
      <c r="D73" s="26" t="n">
        <f aca="false">(D50/D49)*100</f>
        <v>107.908424985751</v>
      </c>
      <c r="E73" s="26" t="n">
        <f aca="false">(E50/E49)*100</f>
        <v>106.031275761068</v>
      </c>
      <c r="F73" s="26" t="n">
        <f aca="false">(F50/F49)*100</f>
        <v>100.668090419316</v>
      </c>
      <c r="G73" s="26" t="n">
        <f aca="false">(G50/G49)*100</f>
        <v>100.505806795115</v>
      </c>
      <c r="I73" s="15"/>
      <c r="J73" s="15"/>
      <c r="K73" s="15"/>
      <c r="L73" s="15"/>
      <c r="M73" s="15"/>
      <c r="N73" s="15"/>
      <c r="O73" s="15"/>
    </row>
    <row r="74" customFormat="false" ht="15" hidden="false" customHeight="false" outlineLevel="0" collapsed="false">
      <c r="A74" s="24" t="s">
        <v>27</v>
      </c>
      <c r="B74" s="26" t="n">
        <f aca="false">(B51/B50)*100</f>
        <v>102.081680897527</v>
      </c>
      <c r="C74" s="26" t="n">
        <f aca="false">(C51/C50)*100</f>
        <v>100.452648745011</v>
      </c>
      <c r="D74" s="26" t="n">
        <f aca="false">(D51/D50)*100</f>
        <v>104.402619074169</v>
      </c>
      <c r="E74" s="26" t="n">
        <f aca="false">(E51/E50)*100</f>
        <v>102.539619281216</v>
      </c>
      <c r="F74" s="26" t="n">
        <f aca="false">(F51/F50)*100</f>
        <v>101.961208291283</v>
      </c>
      <c r="G74" s="26" t="n">
        <f aca="false">(G51/G50)*100</f>
        <v>101.872330563189</v>
      </c>
      <c r="I74" s="15"/>
      <c r="J74" s="15"/>
      <c r="K74" s="15"/>
      <c r="L74" s="15"/>
      <c r="M74" s="15"/>
      <c r="N74" s="15"/>
      <c r="O74" s="15"/>
    </row>
    <row r="75" customFormat="false" ht="15" hidden="false" customHeight="false" outlineLevel="0" collapsed="false">
      <c r="A75" s="24" t="s">
        <v>28</v>
      </c>
      <c r="B75" s="26" t="n">
        <f aca="false">(B52/B51)*100</f>
        <v>101.157858330039</v>
      </c>
      <c r="C75" s="26" t="n">
        <f aca="false">(C52/C51)*100</f>
        <v>100.75982354625</v>
      </c>
      <c r="D75" s="26" t="n">
        <f aca="false">(D52/D51)*100</f>
        <v>106.71884544613</v>
      </c>
      <c r="E75" s="26" t="n">
        <f aca="false">(E52/E51)*100</f>
        <v>101.609452130353</v>
      </c>
      <c r="F75" s="26" t="n">
        <f aca="false">(F52/F51)*100</f>
        <v>98.6094120659143</v>
      </c>
      <c r="G75" s="26" t="n">
        <f aca="false">(G52/G51)*100</f>
        <v>96.9985537156508</v>
      </c>
      <c r="I75" s="15"/>
      <c r="J75" s="15"/>
      <c r="K75" s="15"/>
      <c r="L75" s="15"/>
      <c r="M75" s="15"/>
      <c r="N75" s="15"/>
      <c r="O75" s="15"/>
    </row>
    <row r="76" customFormat="false" ht="15" hidden="false" customHeight="false" outlineLevel="0" collapsed="false">
      <c r="A76" s="24" t="s">
        <v>29</v>
      </c>
      <c r="B76" s="26" t="n">
        <f aca="false">(B53/B52)*100</f>
        <v>102.77868453885</v>
      </c>
      <c r="C76" s="26" t="n">
        <f aca="false">(C53/C52)*100</f>
        <v>101.088177731873</v>
      </c>
      <c r="D76" s="26" t="n">
        <f aca="false">(D53/D52)*100</f>
        <v>103.040375042798</v>
      </c>
      <c r="E76" s="26" t="n">
        <f aca="false">(E53/E52)*100</f>
        <v>102.794413557375</v>
      </c>
      <c r="F76" s="26" t="n">
        <f aca="false">(F53/F52)*100</f>
        <v>102.007380973298</v>
      </c>
      <c r="G76" s="26" t="n">
        <f aca="false">(G53/G52)*100</f>
        <v>102.415815044396</v>
      </c>
      <c r="I76" s="15"/>
      <c r="J76" s="15"/>
      <c r="K76" s="15"/>
      <c r="L76" s="15"/>
      <c r="M76" s="15"/>
      <c r="N76" s="15"/>
      <c r="O76" s="15"/>
    </row>
    <row r="77" customFormat="false" ht="15" hidden="false" customHeight="false" outlineLevel="0" collapsed="false">
      <c r="A77" s="24" t="s">
        <v>30</v>
      </c>
      <c r="B77" s="26" t="n">
        <f aca="false">(B54/B53)*100</f>
        <v>102.243309016227</v>
      </c>
      <c r="C77" s="26" t="n">
        <f aca="false">(C54/C53)*100</f>
        <v>102.26790122841</v>
      </c>
      <c r="D77" s="26" t="n">
        <f aca="false">(D54/D53)*100</f>
        <v>103.779664684903</v>
      </c>
      <c r="E77" s="26" t="n">
        <f aca="false">(E54/E53)*100</f>
        <v>103.483915725706</v>
      </c>
      <c r="F77" s="26" t="n">
        <f aca="false">(F54/F53)*100</f>
        <v>101.298147810723</v>
      </c>
      <c r="G77" s="26" t="n">
        <f aca="false">(G54/G53)*100</f>
        <v>133.306615193352</v>
      </c>
      <c r="I77" s="15"/>
      <c r="J77" s="15"/>
      <c r="K77" s="15"/>
      <c r="L77" s="15"/>
      <c r="M77" s="15"/>
      <c r="N77" s="15"/>
      <c r="O77" s="15"/>
    </row>
    <row r="78" customFormat="false" ht="15" hidden="false" customHeight="false" outlineLevel="0" collapsed="false">
      <c r="A78" s="24" t="s">
        <v>31</v>
      </c>
      <c r="B78" s="26" t="n">
        <f aca="false">(B55/B54)*100</f>
        <v>101.223248780557</v>
      </c>
      <c r="C78" s="26" t="n">
        <f aca="false">(C55/C54)*100</f>
        <v>101.402218052939</v>
      </c>
      <c r="D78" s="26" t="n">
        <f aca="false">(D55/D54)*100</f>
        <v>101.88972008039</v>
      </c>
      <c r="E78" s="26" t="n">
        <f aca="false">(E55/E54)*100</f>
        <v>98.794581767842</v>
      </c>
      <c r="F78" s="26" t="n">
        <f aca="false">(F55/F54)*100</f>
        <v>101.07130240079</v>
      </c>
      <c r="G78" s="26" t="n">
        <f aca="false">(G55/G54)*100</f>
        <v>100.699446578234</v>
      </c>
      <c r="I78" s="15"/>
      <c r="J78" s="15"/>
      <c r="K78" s="15"/>
      <c r="L78" s="15"/>
      <c r="M78" s="15"/>
      <c r="N78" s="15"/>
      <c r="O78" s="15"/>
    </row>
    <row r="79" customFormat="false" ht="15" hidden="false" customHeight="false" outlineLevel="0" collapsed="false">
      <c r="A79" s="24" t="s">
        <v>32</v>
      </c>
      <c r="B79" s="26" t="n">
        <f aca="false">(B56/B55)*100</f>
        <v>103.504418157934</v>
      </c>
      <c r="C79" s="26" t="n">
        <f aca="false">(C56/C55)*100</f>
        <v>112.018380547032</v>
      </c>
      <c r="D79" s="26" t="n">
        <f aca="false">(D56/D55)*100</f>
        <v>104.6108154014</v>
      </c>
      <c r="E79" s="26" t="n">
        <f aca="false">(E56/E55)*100</f>
        <v>100.708214378046</v>
      </c>
      <c r="F79" s="26" t="n">
        <f aca="false">(F56/F55)*100</f>
        <v>99.9982666483095</v>
      </c>
      <c r="G79" s="26" t="n">
        <f aca="false">(G56/G55)*100</f>
        <v>98.637632063171</v>
      </c>
      <c r="I79" s="15"/>
      <c r="J79" s="15"/>
      <c r="K79" s="15"/>
      <c r="L79" s="15"/>
      <c r="M79" s="15"/>
      <c r="N79" s="15"/>
      <c r="O79" s="15"/>
    </row>
    <row r="80" customFormat="false" ht="15" hidden="false" customHeight="false" outlineLevel="0" collapsed="false">
      <c r="E80" s="23"/>
      <c r="F80" s="23"/>
      <c r="G80" s="23"/>
    </row>
    <row r="84" customFormat="false" ht="15" hidden="false" customHeight="false" outlineLevel="0" collapsed="false">
      <c r="E84" s="23"/>
      <c r="F84" s="23"/>
      <c r="G84" s="23"/>
      <c r="H84" s="23"/>
      <c r="I84" s="23"/>
      <c r="J84" s="23"/>
      <c r="K84" s="23"/>
      <c r="L84" s="23"/>
      <c r="M84" s="23"/>
    </row>
    <row r="85" customFormat="false" ht="15" hidden="false" customHeight="false" outlineLevel="0" collapsed="false">
      <c r="E85" s="23"/>
      <c r="F85" s="23"/>
      <c r="G85" s="23"/>
      <c r="H85" s="23"/>
      <c r="I85" s="23"/>
      <c r="J85" s="23"/>
      <c r="K85" s="23"/>
      <c r="L85" s="23"/>
      <c r="M85" s="23"/>
    </row>
    <row r="86" customFormat="false" ht="15" hidden="false" customHeight="false" outlineLevel="0" collapsed="false">
      <c r="E86" s="23"/>
      <c r="F86" s="23"/>
      <c r="G86" s="23"/>
      <c r="H86" s="23"/>
      <c r="I86" s="23"/>
      <c r="J86" s="23"/>
      <c r="K86" s="23"/>
      <c r="L86" s="23"/>
      <c r="M86" s="23"/>
    </row>
    <row r="87" customFormat="false" ht="15" hidden="false" customHeight="false" outlineLevel="0" collapsed="false">
      <c r="E87" s="23"/>
      <c r="F87" s="23"/>
      <c r="G87" s="23"/>
      <c r="H87" s="23"/>
      <c r="I87" s="23"/>
      <c r="J87" s="23"/>
      <c r="K87" s="23"/>
      <c r="L87" s="23"/>
      <c r="M87" s="23"/>
    </row>
    <row r="88" customFormat="false" ht="15" hidden="false" customHeight="false" outlineLevel="0" collapsed="false">
      <c r="E88" s="23"/>
      <c r="F88" s="23"/>
      <c r="G88" s="23"/>
      <c r="H88" s="23"/>
      <c r="I88" s="23"/>
      <c r="J88" s="23"/>
      <c r="K88" s="23"/>
      <c r="L88" s="23"/>
      <c r="M88" s="23"/>
    </row>
    <row r="89" customFormat="false" ht="15" hidden="false" customHeight="false" outlineLevel="0" collapsed="false">
      <c r="E89" s="23"/>
      <c r="F89" s="23"/>
      <c r="G89" s="23"/>
      <c r="H89" s="23"/>
      <c r="I89" s="23"/>
      <c r="J89" s="23"/>
      <c r="K89" s="23"/>
      <c r="L89" s="23"/>
      <c r="M89" s="23"/>
    </row>
    <row r="90" customFormat="false" ht="15" hidden="false" customHeight="false" outlineLevel="0" collapsed="false">
      <c r="E90" s="23"/>
      <c r="F90" s="23"/>
      <c r="G90" s="23"/>
      <c r="H90" s="23"/>
      <c r="I90" s="23"/>
      <c r="J90" s="23"/>
      <c r="K90" s="23"/>
      <c r="L90" s="23"/>
      <c r="M90" s="23"/>
    </row>
    <row r="91" customFormat="false" ht="15" hidden="false" customHeight="false" outlineLevel="0" collapsed="false">
      <c r="A91" s="27" t="s">
        <v>37</v>
      </c>
      <c r="B91" s="15"/>
      <c r="C91" s="28"/>
      <c r="D91" s="15"/>
      <c r="E91" s="15"/>
      <c r="F91" s="15"/>
      <c r="G91" s="15"/>
      <c r="H91" s="15"/>
      <c r="I91" s="15"/>
      <c r="J91" s="15"/>
      <c r="K91" s="28"/>
      <c r="L91" s="28"/>
    </row>
    <row r="92" customFormat="false" ht="15" hidden="false" customHeight="false" outlineLevel="0" collapsed="false">
      <c r="A92" s="28"/>
      <c r="B92" s="14" t="s">
        <v>38</v>
      </c>
      <c r="C92" s="28"/>
      <c r="D92" s="15"/>
      <c r="E92" s="15"/>
      <c r="F92" s="15"/>
      <c r="G92" s="15"/>
      <c r="H92" s="15"/>
      <c r="I92" s="15"/>
      <c r="J92" s="15"/>
      <c r="K92" s="15"/>
      <c r="L92" s="15"/>
    </row>
    <row r="93" customFormat="false" ht="16.4" hidden="false" customHeight="false" outlineLevel="0" collapsed="false">
      <c r="A93" s="6" t="s">
        <v>39</v>
      </c>
      <c r="B93" s="7" t="s">
        <v>40</v>
      </c>
      <c r="C93" s="7" t="s">
        <v>41</v>
      </c>
      <c r="D93" s="7" t="s">
        <v>42</v>
      </c>
      <c r="E93" s="7" t="s">
        <v>43</v>
      </c>
      <c r="F93" s="7" t="s">
        <v>44</v>
      </c>
      <c r="G93" s="7" t="s">
        <v>45</v>
      </c>
      <c r="H93" s="7" t="s">
        <v>46</v>
      </c>
      <c r="I93" s="8" t="s">
        <v>47</v>
      </c>
      <c r="J93" s="29" t="s">
        <v>48</v>
      </c>
      <c r="K93" s="15"/>
      <c r="L93" s="6" t="s">
        <v>49</v>
      </c>
      <c r="M93" s="24" t="n">
        <v>2007</v>
      </c>
      <c r="N93" s="24" t="n">
        <v>2008</v>
      </c>
      <c r="O93" s="24" t="n">
        <v>2009</v>
      </c>
      <c r="P93" s="24" t="n">
        <v>2010</v>
      </c>
      <c r="Q93" s="24" t="s">
        <v>50</v>
      </c>
    </row>
    <row r="94" customFormat="false" ht="15" hidden="false" customHeight="false" outlineLevel="0" collapsed="false">
      <c r="A94" s="24" t="s">
        <v>17</v>
      </c>
      <c r="B94" s="30" t="n">
        <v>6712920.8</v>
      </c>
      <c r="C94" s="31" t="n">
        <f aca="false">((0.5*B94)+B95+B96+B97+(0.5*B98))/4</f>
        <v>6778234.6875</v>
      </c>
      <c r="D94" s="30" t="n">
        <f aca="false">B94-C94</f>
        <v>-65313.8875000011</v>
      </c>
      <c r="E94" s="31" t="s">
        <v>51</v>
      </c>
      <c r="F94" s="30" t="n">
        <f aca="false">E94-B94</f>
        <v>-26584083.52</v>
      </c>
      <c r="G94" s="30" t="n">
        <f aca="false">AVERAGE(F94:F95)</f>
        <v>-907496.515000001</v>
      </c>
      <c r="H94" s="30" t="n">
        <f aca="false">E94+G94</f>
        <v>-20778659.235</v>
      </c>
      <c r="I94" s="32" t="n">
        <f aca="false">B94-H94</f>
        <v>27491580.035</v>
      </c>
      <c r="J94" s="11" t="n">
        <f aca="false">STANDARDIZE(I94,$I$112,$I$116)</f>
        <v>3.65876435283485</v>
      </c>
      <c r="K94" s="15"/>
      <c r="L94" s="24" t="s">
        <v>52</v>
      </c>
      <c r="M94" s="24" t="s">
        <v>53</v>
      </c>
      <c r="N94" s="24" t="s">
        <v>54</v>
      </c>
      <c r="O94" s="24" t="s">
        <v>55</v>
      </c>
      <c r="P94" s="24" t="s">
        <v>56</v>
      </c>
      <c r="Q94" s="24" t="s">
        <v>51</v>
      </c>
    </row>
    <row r="95" customFormat="false" ht="15" hidden="false" customHeight="false" outlineLevel="0" collapsed="false">
      <c r="A95" s="24" t="s">
        <v>18</v>
      </c>
      <c r="B95" s="30" t="n">
        <v>6801412</v>
      </c>
      <c r="C95" s="31" t="n">
        <f aca="false">((0.5*B95)+B96+B97+B98+(0.5*B99))/4</f>
        <v>6818800.3875</v>
      </c>
      <c r="D95" s="30" t="n">
        <f aca="false">B95-C95</f>
        <v>-17388.3874999993</v>
      </c>
      <c r="E95" s="31" t="s">
        <v>57</v>
      </c>
      <c r="F95" s="30" t="n">
        <f aca="false">(B95-E95)</f>
        <v>24769090.49</v>
      </c>
      <c r="G95" s="30" t="n">
        <f aca="false">AVERAGE(F95:F96)</f>
        <v>23862703.835</v>
      </c>
      <c r="H95" s="30" t="n">
        <f aca="false">E95+G95</f>
        <v>5895025.345</v>
      </c>
      <c r="I95" s="32" t="n">
        <f aca="false">B95-H95</f>
        <v>906386.654999998</v>
      </c>
      <c r="J95" s="11" t="n">
        <f aca="false">STANDARDIZE(I95,$I$112,$I$116)</f>
        <v>-0.174774556842352</v>
      </c>
      <c r="K95" s="15"/>
      <c r="L95" s="24" t="s">
        <v>58</v>
      </c>
      <c r="M95" s="24" t="s">
        <v>59</v>
      </c>
      <c r="N95" s="24" t="s">
        <v>60</v>
      </c>
      <c r="O95" s="24" t="s">
        <v>61</v>
      </c>
      <c r="P95" s="24" t="s">
        <v>62</v>
      </c>
      <c r="Q95" s="24" t="s">
        <v>57</v>
      </c>
      <c r="ER95" s="24"/>
      <c r="ES95" s="24"/>
    </row>
    <row r="96" customFormat="false" ht="15" hidden="false" customHeight="false" outlineLevel="0" collapsed="false">
      <c r="A96" s="24" t="s">
        <v>19</v>
      </c>
      <c r="B96" s="30" t="n">
        <v>6793490.4</v>
      </c>
      <c r="C96" s="31" t="n">
        <f aca="false">((0.5*B96)+B97+B98+B99+(0.5*B100))/4</f>
        <v>6868544.925</v>
      </c>
      <c r="D96" s="30" t="n">
        <f aca="false">B96-C96</f>
        <v>-75054.5250000004</v>
      </c>
      <c r="E96" s="31" t="s">
        <v>63</v>
      </c>
      <c r="F96" s="30" t="n">
        <f aca="false">B96-E96</f>
        <v>22956317.18</v>
      </c>
      <c r="G96" s="30" t="n">
        <f aca="false">AVERAGE(F96:F97)</f>
        <v>21979892.395</v>
      </c>
      <c r="H96" s="30" t="n">
        <f aca="false">E96+G96</f>
        <v>5817065.615</v>
      </c>
      <c r="I96" s="32" t="n">
        <f aca="false">B96-H96</f>
        <v>976424.785</v>
      </c>
      <c r="J96" s="11" t="n">
        <f aca="false">STANDARDIZE(I96,$I$112,$I$116)</f>
        <v>-0.164675179618411</v>
      </c>
      <c r="K96" s="15"/>
      <c r="L96" s="24" t="s">
        <v>64</v>
      </c>
      <c r="M96" s="24" t="s">
        <v>65</v>
      </c>
      <c r="N96" s="24" t="s">
        <v>66</v>
      </c>
      <c r="O96" s="24" t="s">
        <v>67</v>
      </c>
      <c r="P96" s="24" t="s">
        <v>68</v>
      </c>
      <c r="Q96" s="24" t="s">
        <v>63</v>
      </c>
      <c r="ER96" s="24"/>
      <c r="ES96" s="24"/>
    </row>
    <row r="97" customFormat="false" ht="15" hidden="false" customHeight="false" outlineLevel="0" collapsed="false">
      <c r="A97" s="24" t="s">
        <v>20</v>
      </c>
      <c r="B97" s="30" t="n">
        <v>6728775.4</v>
      </c>
      <c r="C97" s="31" t="n">
        <f aca="false">((0.5*B97)+B98+B99+B100+(0.5*B101))/4</f>
        <v>6961865.1875</v>
      </c>
      <c r="D97" s="30" t="n">
        <f aca="false">B97-C97</f>
        <v>-233089.7875</v>
      </c>
      <c r="E97" s="31" t="s">
        <v>69</v>
      </c>
      <c r="F97" s="30" t="n">
        <f aca="false">B97-E97</f>
        <v>21003467.61</v>
      </c>
      <c r="G97" s="30" t="n">
        <f aca="false">AVERAGE(F97:F98)</f>
        <v>23870115.715</v>
      </c>
      <c r="H97" s="30" t="n">
        <f aca="false">E97+G97</f>
        <v>9595423.505</v>
      </c>
      <c r="I97" s="32" t="n">
        <f aca="false">B97-H97</f>
        <v>-2866648.105</v>
      </c>
      <c r="J97" s="11" t="n">
        <f aca="false">STANDARDIZE(I97,$I$112,$I$116)</f>
        <v>-0.71883964424946</v>
      </c>
      <c r="K97" s="15"/>
      <c r="L97" s="24" t="s">
        <v>70</v>
      </c>
      <c r="M97" s="24" t="s">
        <v>71</v>
      </c>
      <c r="N97" s="24" t="s">
        <v>72</v>
      </c>
      <c r="O97" s="24" t="s">
        <v>73</v>
      </c>
      <c r="P97" s="24" t="s">
        <v>74</v>
      </c>
      <c r="Q97" s="24" t="s">
        <v>69</v>
      </c>
      <c r="ER97" s="24"/>
      <c r="ES97" s="24"/>
    </row>
    <row r="98" customFormat="false" ht="15" hidden="false" customHeight="false" outlineLevel="0" collapsed="false">
      <c r="A98" s="24" t="s">
        <v>21</v>
      </c>
      <c r="B98" s="30" t="n">
        <v>6865601.1</v>
      </c>
      <c r="C98" s="31" t="n">
        <f aca="false">((0.5*B98)+B99+B100+B101+(0.5*B102))/4</f>
        <v>7111997.5375</v>
      </c>
      <c r="D98" s="30" t="n">
        <f aca="false">B98-C98</f>
        <v>-246396.4375</v>
      </c>
      <c r="E98" s="31" t="s">
        <v>51</v>
      </c>
      <c r="F98" s="30" t="n">
        <f aca="false">B98-E98</f>
        <v>26736763.82</v>
      </c>
      <c r="G98" s="30" t="n">
        <f aca="false">AVERAGE(F98:F99)</f>
        <v>25838849.805</v>
      </c>
      <c r="H98" s="30" t="n">
        <f aca="false">E98+G98</f>
        <v>5967687.085</v>
      </c>
      <c r="I98" s="32" t="n">
        <f aca="false">B98-H98</f>
        <v>897914.014999999</v>
      </c>
      <c r="J98" s="11" t="n">
        <f aca="false">STANDARDIZE(I98,$I$112,$I$116)</f>
        <v>-0.175996296877996</v>
      </c>
      <c r="K98" s="15"/>
      <c r="ER98" s="24"/>
      <c r="ES98" s="24"/>
    </row>
    <row r="99" customFormat="false" ht="15" hidden="false" customHeight="false" outlineLevel="0" collapsed="false">
      <c r="A99" s="24" t="s">
        <v>22</v>
      </c>
      <c r="B99" s="30" t="n">
        <v>6973257.3</v>
      </c>
      <c r="C99" s="31" t="n">
        <f aca="false">((0.5*B99)+B100+B101+B102+(0.5*B103))/4</f>
        <v>7301831.6</v>
      </c>
      <c r="D99" s="30" t="n">
        <f aca="false">B99-C99</f>
        <v>-328574.300000001</v>
      </c>
      <c r="E99" s="31" t="s">
        <v>57</v>
      </c>
      <c r="F99" s="30" t="n">
        <f aca="false">B99-E99</f>
        <v>24940935.79</v>
      </c>
      <c r="G99" s="30" t="n">
        <f aca="false">AVERAGE(F99:F100)</f>
        <v>24061681.985</v>
      </c>
      <c r="H99" s="30" t="n">
        <f aca="false">E99+G99</f>
        <v>6094003.495</v>
      </c>
      <c r="I99" s="32" t="n">
        <f aca="false">B99-H99</f>
        <v>879253.804999999</v>
      </c>
      <c r="J99" s="11" t="n">
        <f aca="false">STANDARDIZE(I99,$I$112,$I$116)</f>
        <v>-0.178687066889531</v>
      </c>
      <c r="K99" s="15"/>
      <c r="R99" s="15"/>
      <c r="ER99" s="24"/>
      <c r="ES99" s="24"/>
    </row>
    <row r="100" customFormat="false" ht="15" hidden="false" customHeight="false" outlineLevel="0" collapsed="false">
      <c r="A100" s="24" t="s">
        <v>23</v>
      </c>
      <c r="B100" s="30" t="n">
        <v>7019601.4</v>
      </c>
      <c r="C100" s="31" t="n">
        <f aca="false">((0.5*B100)+B101+B102+B103+(0.5*B104))/4</f>
        <v>7525880.6375</v>
      </c>
      <c r="D100" s="30" t="n">
        <f aca="false">B100-C100</f>
        <v>-506279.2375</v>
      </c>
      <c r="E100" s="31" t="s">
        <v>63</v>
      </c>
      <c r="F100" s="30" t="n">
        <f aca="false">B100-E100</f>
        <v>23182428.18</v>
      </c>
      <c r="G100" s="30" t="n">
        <f aca="false">AVERAGE(F100:F101)</f>
        <v>22353173.445</v>
      </c>
      <c r="H100" s="30" t="n">
        <f aca="false">E100+G100</f>
        <v>6190346.665</v>
      </c>
      <c r="I100" s="32" t="n">
        <f aca="false">B100-H100</f>
        <v>829254.734999999</v>
      </c>
      <c r="J100" s="11" t="n">
        <f aca="false">STANDARDIZE(I100,$I$112,$I$116)</f>
        <v>-0.185896846316483</v>
      </c>
      <c r="K100" s="15"/>
      <c r="R100" s="15"/>
    </row>
    <row r="101" customFormat="false" ht="16.4" hidden="false" customHeight="false" outlineLevel="0" collapsed="false">
      <c r="A101" s="24" t="s">
        <v>24</v>
      </c>
      <c r="B101" s="30" t="n">
        <v>7249226.5</v>
      </c>
      <c r="C101" s="31" t="n">
        <f aca="false">((0.5*B101)+B102+B103+B104+(0.5*B105))/4</f>
        <v>7747300.225</v>
      </c>
      <c r="D101" s="30" t="n">
        <f aca="false">B101-C101</f>
        <v>-498073.725</v>
      </c>
      <c r="E101" s="31" t="s">
        <v>69</v>
      </c>
      <c r="F101" s="30" t="n">
        <f aca="false">B101-E101</f>
        <v>21523918.71</v>
      </c>
      <c r="G101" s="30" t="n">
        <f aca="false">AVERAGE(F101:F102)</f>
        <v>21672409.86</v>
      </c>
      <c r="H101" s="30" t="n">
        <f aca="false">E101+G101</f>
        <v>7397717.65</v>
      </c>
      <c r="I101" s="32" t="n">
        <f aca="false">B101-H101</f>
        <v>-148491.149999999</v>
      </c>
      <c r="J101" s="11" t="n">
        <f aca="false">STANDARDIZE(I101,$I$112,$I$116)</f>
        <v>-0.326886112046032</v>
      </c>
      <c r="K101" s="15"/>
      <c r="L101" s="33" t="s">
        <v>75</v>
      </c>
      <c r="M101" s="9" t="n">
        <f aca="false">_xlfn.STDEV.P(B20:B35)</f>
        <v>726004.976184414</v>
      </c>
      <c r="R101" s="15"/>
      <c r="ET101" s="15"/>
    </row>
    <row r="102" customFormat="false" ht="15" hidden="false" customHeight="false" outlineLevel="0" collapsed="false">
      <c r="A102" s="24" t="s">
        <v>25</v>
      </c>
      <c r="B102" s="30" t="n">
        <v>7546208.8</v>
      </c>
      <c r="C102" s="31" t="n">
        <f aca="false">((0.5*B102)+B103+B104+B105+(0.5*B106))/4</f>
        <v>7942451.7125</v>
      </c>
      <c r="D102" s="30" t="n">
        <f aca="false">B102-C102</f>
        <v>-396242.9125</v>
      </c>
      <c r="E102" s="31" t="s">
        <v>51</v>
      </c>
      <c r="F102" s="30" t="n">
        <f aca="false">B102-E101</f>
        <v>21820901.01</v>
      </c>
      <c r="G102" s="30" t="n">
        <f aca="false">AVERAGE(F102:F103)</f>
        <v>23799950.8</v>
      </c>
      <c r="H102" s="30" t="n">
        <f aca="false">E102+G102</f>
        <v>3928788.08</v>
      </c>
      <c r="I102" s="32" t="n">
        <f aca="false">B102-H102</f>
        <v>3617420.72</v>
      </c>
      <c r="J102" s="11" t="n">
        <f aca="false">STANDARDIZE(I102,$I$112,$I$116)</f>
        <v>0.216151866941212</v>
      </c>
      <c r="K102" s="15"/>
      <c r="R102" s="15"/>
      <c r="ET102" s="15"/>
    </row>
    <row r="103" customFormat="false" ht="15" hidden="false" customHeight="false" outlineLevel="0" collapsed="false">
      <c r="A103" s="24" t="s">
        <v>26</v>
      </c>
      <c r="B103" s="30" t="n">
        <v>7811322.1</v>
      </c>
      <c r="C103" s="31" t="n">
        <f aca="false">((0.5*B103)+B104+B105+B106+(0.5*B107))/4</f>
        <v>8118605.6125</v>
      </c>
      <c r="D103" s="30" t="n">
        <f aca="false">B103-C103</f>
        <v>-307283.5125</v>
      </c>
      <c r="E103" s="31" t="s">
        <v>57</v>
      </c>
      <c r="F103" s="30" t="n">
        <f aca="false">B103-E103</f>
        <v>25779000.59</v>
      </c>
      <c r="G103" s="30" t="n">
        <f aca="false">AVERAGE(F103:F104)</f>
        <v>24957878.135</v>
      </c>
      <c r="H103" s="30" t="n">
        <f aca="false">E103+G103</f>
        <v>6990199.645</v>
      </c>
      <c r="I103" s="32" t="n">
        <f aca="false">B103-H103</f>
        <v>821122.455</v>
      </c>
      <c r="J103" s="11" t="n">
        <f aca="false">STANDARDIZE(I103,$I$112,$I$116)</f>
        <v>-0.187069507028736</v>
      </c>
      <c r="K103" s="15"/>
      <c r="N103" s="15"/>
      <c r="O103" s="15"/>
      <c r="P103" s="15"/>
      <c r="Q103" s="15"/>
      <c r="R103" s="15"/>
      <c r="ET103" s="15"/>
    </row>
    <row r="104" customFormat="false" ht="16.4" hidden="false" customHeight="false" outlineLevel="0" collapsed="false">
      <c r="A104" s="24" t="s">
        <v>27</v>
      </c>
      <c r="B104" s="30" t="n">
        <v>7973928.9</v>
      </c>
      <c r="C104" s="31" t="n">
        <f aca="false">((0.5*B104)+B105+B106+B107+(0.5*B108))/4</f>
        <v>8277502.775</v>
      </c>
      <c r="D104" s="30" t="n">
        <f aca="false">B104-C104</f>
        <v>-303573.875</v>
      </c>
      <c r="E104" s="31" t="s">
        <v>63</v>
      </c>
      <c r="F104" s="30" t="n">
        <f aca="false">B104-E104</f>
        <v>24136755.68</v>
      </c>
      <c r="G104" s="30" t="n">
        <f aca="false">AVERAGE(F104:F105)</f>
        <v>23238851.795</v>
      </c>
      <c r="H104" s="30" t="n">
        <f aca="false">E104+G104</f>
        <v>7076025.015</v>
      </c>
      <c r="I104" s="32" t="n">
        <f aca="false">B104-H104</f>
        <v>897903.884999998</v>
      </c>
      <c r="J104" s="11" t="n">
        <f aca="false">STANDARDIZE(I104,$I$112,$I$116)</f>
        <v>-0.175997757606478</v>
      </c>
      <c r="K104" s="15"/>
      <c r="L104" s="33" t="s">
        <v>76</v>
      </c>
      <c r="M104" s="34" t="n">
        <f aca="false">((B35/B20)^(1/15))-1</f>
        <v>0.0188318307305382</v>
      </c>
      <c r="N104" s="15"/>
      <c r="O104" s="15"/>
      <c r="P104" s="15"/>
      <c r="Q104" s="15"/>
      <c r="R104" s="15"/>
      <c r="ET104" s="15"/>
    </row>
    <row r="105" customFormat="false" ht="15" hidden="false" customHeight="false" outlineLevel="0" collapsed="false">
      <c r="A105" s="24" t="s">
        <v>28</v>
      </c>
      <c r="B105" s="30" t="n">
        <v>8066255.7</v>
      </c>
      <c r="C105" s="31" t="n">
        <f aca="false">((0.5*B105)+B106+B107+B108+(0.5*B109))/4</f>
        <v>8455079.2625</v>
      </c>
      <c r="D105" s="30" t="n">
        <f aca="false">B105-C105</f>
        <v>-388823.562499999</v>
      </c>
      <c r="E105" s="31" t="s">
        <v>69</v>
      </c>
      <c r="F105" s="30" t="n">
        <f aca="false">B105-E105</f>
        <v>22340947.91</v>
      </c>
      <c r="G105" s="30" t="n">
        <f aca="false">AVERAGE(F105:F106)</f>
        <v>25251251.065</v>
      </c>
      <c r="H105" s="30" t="n">
        <f aca="false">E105+G105</f>
        <v>10976558.855</v>
      </c>
      <c r="I105" s="32" t="n">
        <f aca="false">B105-H105</f>
        <v>-2910303.155</v>
      </c>
      <c r="J105" s="11" t="n">
        <f aca="false">STANDARDIZE(I105,$I$112,$I$116)</f>
        <v>-0.72513462696359</v>
      </c>
      <c r="K105" s="15"/>
      <c r="O105" s="15"/>
      <c r="P105" s="15"/>
      <c r="Q105" s="15"/>
      <c r="R105" s="15"/>
      <c r="ER105" s="15"/>
      <c r="ES105" s="15"/>
      <c r="ET105" s="15"/>
    </row>
    <row r="106" customFormat="false" ht="16.4" hidden="false" customHeight="false" outlineLevel="0" collapsed="false">
      <c r="A106" s="24" t="s">
        <v>29</v>
      </c>
      <c r="B106" s="30" t="n">
        <v>8290391.5</v>
      </c>
      <c r="C106" s="31"/>
      <c r="D106" s="30" t="n">
        <f aca="false">B106-C106</f>
        <v>8290391.5</v>
      </c>
      <c r="E106" s="31" t="s">
        <v>51</v>
      </c>
      <c r="F106" s="30" t="n">
        <f aca="false">B106-E106</f>
        <v>28161554.22</v>
      </c>
      <c r="G106" s="30" t="n">
        <f aca="false">AVERAGE(F106:F107)</f>
        <v>27302801.655</v>
      </c>
      <c r="H106" s="30" t="n">
        <f aca="false">E106+G106</f>
        <v>7431638.935</v>
      </c>
      <c r="I106" s="32" t="n">
        <f aca="false">B106-H106</f>
        <v>858752.565000001</v>
      </c>
      <c r="J106" s="11" t="n">
        <f aca="false">STANDARDIZE(I106,$I$112,$I$116)</f>
        <v>-0.181643310243237</v>
      </c>
      <c r="K106" s="15"/>
      <c r="L106" s="35" t="s">
        <v>77</v>
      </c>
      <c r="M106" s="35" t="s">
        <v>78</v>
      </c>
      <c r="N106" s="35" t="s">
        <v>79</v>
      </c>
      <c r="O106" s="15"/>
      <c r="P106" s="15"/>
      <c r="Q106" s="15"/>
      <c r="R106" s="15"/>
      <c r="ER106" s="15"/>
      <c r="ES106" s="15"/>
      <c r="ET106" s="15"/>
    </row>
    <row r="107" customFormat="false" ht="15" hidden="false" customHeight="false" outlineLevel="0" collapsed="false">
      <c r="A107" s="24" t="s">
        <v>30</v>
      </c>
      <c r="B107" s="30" t="n">
        <v>8476370.6</v>
      </c>
      <c r="C107" s="31"/>
      <c r="D107" s="30" t="n">
        <f aca="false">B107-C107</f>
        <v>8476370.6</v>
      </c>
      <c r="E107" s="31" t="s">
        <v>57</v>
      </c>
      <c r="F107" s="30" t="n">
        <f aca="false">B107-E107</f>
        <v>26444049.09</v>
      </c>
      <c r="G107" s="30" t="n">
        <f aca="false">AVERAGE(F107:F108)</f>
        <v>25593466.785</v>
      </c>
      <c r="H107" s="30" t="n">
        <f aca="false">E107+G107</f>
        <v>7625788.295</v>
      </c>
      <c r="I107" s="32" t="n">
        <f aca="false">B107-H107</f>
        <v>850582.305000002</v>
      </c>
      <c r="J107" s="11" t="n">
        <f aca="false">STANDARDIZE(I107,$I$112,$I$116)</f>
        <v>-0.182821447605809</v>
      </c>
      <c r="K107" s="15"/>
      <c r="L107" s="36" t="s">
        <v>80</v>
      </c>
      <c r="M107" s="11" t="n">
        <v>-1.5</v>
      </c>
      <c r="N107" s="11" t="n">
        <f aca="false">COUNTIF(J94:J109,"&lt;"&amp;M107)</f>
        <v>0</v>
      </c>
      <c r="O107" s="15"/>
      <c r="P107" s="15"/>
      <c r="Q107" s="15"/>
      <c r="R107" s="15"/>
      <c r="ER107" s="15"/>
      <c r="ES107" s="15"/>
      <c r="ET107" s="15"/>
    </row>
    <row r="108" customFormat="false" ht="15" hidden="false" customHeight="false" outlineLevel="0" collapsed="false">
      <c r="A108" s="24" t="s">
        <v>31</v>
      </c>
      <c r="B108" s="30" t="n">
        <v>8580057.7</v>
      </c>
      <c r="C108" s="31"/>
      <c r="D108" s="30" t="n">
        <f aca="false">B108-C108</f>
        <v>8580057.7</v>
      </c>
      <c r="E108" s="31" t="s">
        <v>63</v>
      </c>
      <c r="F108" s="30" t="n">
        <f aca="false">B108-E108</f>
        <v>24742884.48</v>
      </c>
      <c r="G108" s="30" t="n">
        <f aca="false">AVERAGE(F108:F109)</f>
        <v>23949157.745</v>
      </c>
      <c r="H108" s="30" t="n">
        <f aca="false">E108+G108</f>
        <v>7786330.965</v>
      </c>
      <c r="I108" s="32" t="n">
        <f aca="false">B108-H108</f>
        <v>793726.735000001</v>
      </c>
      <c r="J108" s="11" t="n">
        <f aca="false">STANDARDIZE(I108,$I$112,$I$116)</f>
        <v>-0.191019922475314</v>
      </c>
      <c r="K108" s="15"/>
      <c r="L108" s="11" t="n">
        <f aca="false">M107</f>
        <v>-1.5</v>
      </c>
      <c r="M108" s="11" t="n">
        <f aca="false">M107+0.5</f>
        <v>-1</v>
      </c>
      <c r="N108" s="11" t="n">
        <f aca="false">COUNTIF($J$94:$J$109,"&gt;="&amp;M108)-COUNTIF($J$94:$J$109,"&gt;"&amp;M109)</f>
        <v>2</v>
      </c>
      <c r="O108" s="15"/>
      <c r="P108" s="15"/>
      <c r="Q108" s="15"/>
      <c r="R108" s="15"/>
      <c r="ER108" s="15"/>
      <c r="ES108" s="15"/>
      <c r="ET108" s="15"/>
    </row>
    <row r="109" customFormat="false" ht="15" hidden="false" customHeight="false" outlineLevel="0" collapsed="false">
      <c r="A109" s="24" t="s">
        <v>32</v>
      </c>
      <c r="B109" s="30" t="n">
        <v>8880738.8</v>
      </c>
      <c r="C109" s="31"/>
      <c r="D109" s="30" t="n">
        <f aca="false">B109-C109</f>
        <v>8880738.8</v>
      </c>
      <c r="E109" s="30" t="s">
        <v>69</v>
      </c>
      <c r="F109" s="30" t="n">
        <f aca="false">B109-E109</f>
        <v>23155431.01</v>
      </c>
      <c r="G109" s="30" t="n">
        <f aca="false">AVERAGE(F109:F110)</f>
        <v>23155431.01</v>
      </c>
      <c r="H109" s="30" t="n">
        <f aca="false">E109+G109</f>
        <v>8880738.8</v>
      </c>
      <c r="I109" s="32" t="n">
        <f aca="false">B109-H109</f>
        <v>0</v>
      </c>
      <c r="J109" s="11" t="n">
        <f aca="false">STANDARDIZE(I109,$I$112,$I$116)</f>
        <v>-0.305473945012635</v>
      </c>
      <c r="K109" s="15"/>
      <c r="L109" s="11" t="n">
        <f aca="false">M108</f>
        <v>-1</v>
      </c>
      <c r="M109" s="11" t="n">
        <f aca="false">M108+0.5</f>
        <v>-0.5</v>
      </c>
      <c r="N109" s="11" t="n">
        <f aca="false">COUNTIF($J$94:$J$109,"&gt;="&amp;M109)-COUNTIF($J$94:$J$109,"&gt;"&amp;M110)</f>
        <v>12</v>
      </c>
      <c r="O109" s="15"/>
      <c r="P109" s="15"/>
      <c r="Q109" s="15"/>
      <c r="R109" s="15"/>
      <c r="ER109" s="15"/>
      <c r="ES109" s="15"/>
      <c r="ET109" s="15"/>
    </row>
    <row r="110" customFormat="false" ht="15" hidden="false" customHeight="false" outlineLevel="0" collapsed="false">
      <c r="L110" s="11" t="n">
        <f aca="false">M109</f>
        <v>-0.5</v>
      </c>
      <c r="M110" s="11" t="n">
        <f aca="false">M109+0.5</f>
        <v>0</v>
      </c>
      <c r="N110" s="11" t="n">
        <f aca="false">COUNTIF($J$94:$J$109,"&gt;="&amp;M110)-COUNTIF($J$94:$J$109,"&gt;"&amp;M111)</f>
        <v>1</v>
      </c>
      <c r="ER110" s="15"/>
      <c r="ES110" s="15"/>
      <c r="ET110" s="15"/>
    </row>
    <row r="111" customFormat="false" ht="16.4" hidden="false" customHeight="false" outlineLevel="0" collapsed="false">
      <c r="E111" s="23"/>
      <c r="F111" s="23"/>
      <c r="G111" s="23"/>
      <c r="I111" s="25" t="s">
        <v>47</v>
      </c>
      <c r="J111" s="37" t="s">
        <v>48</v>
      </c>
      <c r="L111" s="11" t="n">
        <f aca="false">M110</f>
        <v>0</v>
      </c>
      <c r="M111" s="11" t="n">
        <f aca="false">M110+0.5</f>
        <v>0.5</v>
      </c>
      <c r="N111" s="11" t="n">
        <f aca="false">COUNTIF($J$94:$J$109,"&gt;="&amp;M111)-COUNTIF($J$94:$J$109,"&gt;"&amp;M112)</f>
        <v>0</v>
      </c>
      <c r="ER111" s="15"/>
      <c r="ES111" s="15"/>
      <c r="ET111" s="15"/>
    </row>
    <row r="112" customFormat="false" ht="17.25" hidden="false" customHeight="true" outlineLevel="0" collapsed="false">
      <c r="E112" s="23"/>
      <c r="F112" s="23"/>
      <c r="G112" s="23"/>
      <c r="H112" s="38" t="s">
        <v>81</v>
      </c>
      <c r="I112" s="24" t="n">
        <f aca="false">AVERAGE(I94:I109)</f>
        <v>2118430.0178125</v>
      </c>
      <c r="J112" s="24" t="n">
        <f aca="false">AVERAGE(J94:J109)</f>
        <v>0</v>
      </c>
      <c r="L112" s="11" t="n">
        <f aca="false">M111</f>
        <v>0.5</v>
      </c>
      <c r="M112" s="11" t="n">
        <f aca="false">M111+0.5</f>
        <v>1</v>
      </c>
      <c r="N112" s="11" t="n">
        <f aca="false">COUNTIF($J$94:$J$109,"&gt;="&amp;M112)-COUNTIF($J$94:$J$109,"&gt;"&amp;M113)</f>
        <v>0</v>
      </c>
    </row>
    <row r="113" customFormat="false" ht="15" hidden="false" customHeight="false" outlineLevel="0" collapsed="false">
      <c r="E113" s="23"/>
      <c r="F113" s="23"/>
      <c r="G113" s="23"/>
      <c r="H113" s="39" t="s">
        <v>82</v>
      </c>
      <c r="I113" s="40" t="n">
        <f aca="false">VAR(I94:I109)</f>
        <v>48092781551909.2</v>
      </c>
      <c r="J113" s="41" t="n">
        <f aca="false">VAR(J94:J109)</f>
        <v>1</v>
      </c>
      <c r="L113" s="11" t="n">
        <f aca="false">M112</f>
        <v>1</v>
      </c>
      <c r="M113" s="11" t="n">
        <f aca="false">M112+0.5</f>
        <v>1.5</v>
      </c>
      <c r="N113" s="11" t="n">
        <f aca="false">COUNTIF($J$94:$J$109,"&gt;="&amp;M113)-COUNTIF($J$94:$J$109,"&gt;"&amp;M114)</f>
        <v>1</v>
      </c>
    </row>
    <row r="114" customFormat="false" ht="15" hidden="false" customHeight="false" outlineLevel="0" collapsed="false">
      <c r="E114" s="23"/>
      <c r="F114" s="23"/>
      <c r="G114" s="23"/>
      <c r="H114" s="35" t="s">
        <v>83</v>
      </c>
      <c r="I114" s="11"/>
      <c r="J114" s="24" t="n">
        <f aca="false">MIN(J94:J109)</f>
        <v>-0.72513462696359</v>
      </c>
      <c r="L114" s="11" t="n">
        <f aca="false">M113</f>
        <v>1.5</v>
      </c>
      <c r="M114" s="42" t="s">
        <v>84</v>
      </c>
      <c r="N114" s="11" t="n">
        <f aca="false">COUNTIF($J$94:$J$109,"&gt;="&amp;M114)-COUNTIF($J$94:$J$109,"&gt;"&amp;M115)</f>
        <v>0</v>
      </c>
    </row>
    <row r="115" customFormat="false" ht="15" hidden="false" customHeight="false" outlineLevel="0" collapsed="false">
      <c r="E115" s="23"/>
      <c r="F115" s="23"/>
      <c r="G115" s="23"/>
      <c r="H115" s="35" t="s">
        <v>85</v>
      </c>
      <c r="I115" s="11"/>
      <c r="J115" s="24" t="n">
        <f aca="false">MAX(J94:J109)</f>
        <v>3.65876435283485</v>
      </c>
      <c r="K115" s="23"/>
      <c r="L115" s="23"/>
      <c r="M115" s="23"/>
    </row>
    <row r="116" customFormat="false" ht="15" hidden="false" customHeight="false" outlineLevel="0" collapsed="false">
      <c r="C116" s="23"/>
      <c r="H116" s="35" t="s">
        <v>86</v>
      </c>
      <c r="I116" s="11" t="n">
        <f aca="false">SQRT(I113)</f>
        <v>6934895.92942166</v>
      </c>
      <c r="J116" s="11"/>
      <c r="K116" s="23"/>
      <c r="L116" s="23"/>
    </row>
    <row r="117" customFormat="false" ht="15" hidden="false" customHeight="false" outlineLevel="0" collapsed="false">
      <c r="C117" s="23"/>
      <c r="H117" s="43"/>
      <c r="K117" s="23"/>
      <c r="L117" s="23"/>
    </row>
    <row r="118" customFormat="false" ht="15" hidden="false" customHeight="false" outlineLevel="0" collapsed="false">
      <c r="C118" s="23"/>
      <c r="H118" s="43"/>
      <c r="K118" s="23"/>
      <c r="L118" s="23"/>
    </row>
    <row r="119" customFormat="false" ht="15" hidden="false" customHeight="false" outlineLevel="0" collapsed="false">
      <c r="C119" s="23"/>
      <c r="H119" s="43"/>
      <c r="K119" s="23"/>
      <c r="L119" s="23"/>
    </row>
    <row r="120" customFormat="false" ht="15" hidden="false" customHeight="false" outlineLevel="0" collapsed="false">
      <c r="A120" s="23"/>
      <c r="B120" s="43" t="s">
        <v>12</v>
      </c>
      <c r="C120" s="43"/>
    </row>
    <row r="121" customFormat="false" ht="16.4" hidden="false" customHeight="false" outlineLevel="0" collapsed="false">
      <c r="A121" s="44" t="s">
        <v>39</v>
      </c>
      <c r="B121" s="45" t="s">
        <v>87</v>
      </c>
      <c r="C121" s="45" t="s">
        <v>88</v>
      </c>
      <c r="D121" s="45" t="s">
        <v>89</v>
      </c>
      <c r="E121" s="45" t="s">
        <v>90</v>
      </c>
      <c r="F121" s="45" t="s">
        <v>91</v>
      </c>
      <c r="G121" s="45" t="s">
        <v>92</v>
      </c>
      <c r="H121" s="45" t="s">
        <v>93</v>
      </c>
      <c r="I121" s="46" t="s">
        <v>94</v>
      </c>
      <c r="J121" s="29" t="s">
        <v>48</v>
      </c>
      <c r="L121" s="47" t="s">
        <v>95</v>
      </c>
      <c r="M121" s="11" t="n">
        <v>2007</v>
      </c>
      <c r="N121" s="11" t="n">
        <v>2008</v>
      </c>
      <c r="O121" s="11" t="n">
        <v>2009</v>
      </c>
      <c r="P121" s="11" t="n">
        <v>2010</v>
      </c>
      <c r="Q121" s="36" t="s">
        <v>96</v>
      </c>
    </row>
    <row r="122" customFormat="false" ht="15" hidden="false" customHeight="false" outlineLevel="0" collapsed="false">
      <c r="A122" s="10" t="s">
        <v>17</v>
      </c>
      <c r="B122" s="10" t="n">
        <v>1613974.4</v>
      </c>
      <c r="C122" s="10" t="n">
        <f aca="false">(0.5*B122)+B123+B124+B125+(0.5*B126)/4</f>
        <v>5876077.5125</v>
      </c>
      <c r="D122" s="10" t="n">
        <f aca="false">B122-C122</f>
        <v>-4262103.1125</v>
      </c>
      <c r="E122" s="10" t="n">
        <v>-4600010.771875</v>
      </c>
      <c r="F122" s="10" t="n">
        <f aca="false">B122-E122</f>
        <v>6213985.171875</v>
      </c>
      <c r="G122" s="10" t="n">
        <f aca="false">AVERAGE(F122:F123)</f>
        <v>5993480.934375</v>
      </c>
      <c r="H122" s="10" t="n">
        <f aca="false">E122-G122</f>
        <v>-10593491.70625</v>
      </c>
      <c r="I122" s="12" t="n">
        <f aca="false">B122-H122</f>
        <v>12207466.10625</v>
      </c>
      <c r="J122" s="11" t="n">
        <f aca="false">STANDARDIZE(I122,$I$140,$I$144)</f>
        <v>1.31115226611705</v>
      </c>
      <c r="L122" s="11" t="s">
        <v>52</v>
      </c>
      <c r="M122" s="10" t="n">
        <v>-4262103.1125</v>
      </c>
      <c r="N122" s="10" t="n">
        <v>-4425206.9875</v>
      </c>
      <c r="O122" s="10" t="n">
        <v>-4748080.2375</v>
      </c>
      <c r="P122" s="10" t="n">
        <v>-4964652.75</v>
      </c>
      <c r="Q122" s="10" t="n">
        <f aca="false">AVERAGE(M122:P122)</f>
        <v>-4600010.771875</v>
      </c>
    </row>
    <row r="123" customFormat="false" ht="15" hidden="false" customHeight="false" outlineLevel="0" collapsed="false">
      <c r="A123" s="10" t="s">
        <v>18</v>
      </c>
      <c r="B123" s="10" t="n">
        <v>1632335.5</v>
      </c>
      <c r="C123" s="10" t="n">
        <f aca="false">(0.5*B123)+B124+B125+B126+(0.5*B127)/4</f>
        <v>5894940.375</v>
      </c>
      <c r="D123" s="10" t="n">
        <f aca="false">B123-C123</f>
        <v>-4262604.875</v>
      </c>
      <c r="E123" s="10" t="n">
        <v>-4140641.196875</v>
      </c>
      <c r="F123" s="10" t="n">
        <f aca="false">B123-E123</f>
        <v>5772976.696875</v>
      </c>
      <c r="G123" s="10" t="n">
        <f aca="false">AVERAGE(F122:F124)</f>
        <v>5776522.99479167</v>
      </c>
      <c r="H123" s="10" t="n">
        <f aca="false">E123-G123</f>
        <v>-9917164.19166667</v>
      </c>
      <c r="I123" s="12" t="n">
        <f aca="false">B123-H123</f>
        <v>11549499.6916667</v>
      </c>
      <c r="J123" s="11" t="n">
        <f aca="false">STANDARDIZE(I123,$I$140,$I$144)</f>
        <v>0.312559383108127</v>
      </c>
      <c r="L123" s="11" t="s">
        <v>58</v>
      </c>
      <c r="M123" s="10" t="n">
        <v>-4262604.875</v>
      </c>
      <c r="N123" s="10" t="n">
        <v>-4459879.9125</v>
      </c>
      <c r="O123" s="10" t="n">
        <v>-4761822.7</v>
      </c>
      <c r="P123" s="10" t="n">
        <v>-3078257.3</v>
      </c>
      <c r="Q123" s="10" t="n">
        <f aca="false">AVERAGE(M123:P123)</f>
        <v>-4140641.196875</v>
      </c>
      <c r="ER123" s="11"/>
      <c r="ES123" s="36"/>
    </row>
    <row r="124" customFormat="false" ht="15" hidden="false" customHeight="false" outlineLevel="0" collapsed="false">
      <c r="A124" s="10" t="s">
        <v>19</v>
      </c>
      <c r="B124" s="10" t="n">
        <v>1612995</v>
      </c>
      <c r="C124" s="10" t="n">
        <f aca="false">(0.5*B124)+B125+B126+B127+(0.5*B128)/4</f>
        <v>5944915.0375</v>
      </c>
      <c r="D124" s="10" t="n">
        <f aca="false">B124-C124</f>
        <v>-4331920.0375</v>
      </c>
      <c r="E124" s="10" t="n">
        <v>-3729612.115625</v>
      </c>
      <c r="F124" s="10" t="n">
        <f aca="false">B124-E124</f>
        <v>5342607.115625</v>
      </c>
      <c r="G124" s="10" t="n">
        <f aca="false">AVERAGE(F123:F125)</f>
        <v>5323145.65208333</v>
      </c>
      <c r="H124" s="10" t="n">
        <f aca="false">E124-G124</f>
        <v>-9052757.76770833</v>
      </c>
      <c r="I124" s="12" t="n">
        <f aca="false">B124-H124</f>
        <v>10665752.7677083</v>
      </c>
      <c r="J124" s="11" t="n">
        <f aca="false">STANDARDIZE(I124,$I$140,$I$144)</f>
        <v>-1.02869963723971</v>
      </c>
      <c r="L124" s="11" t="s">
        <v>64</v>
      </c>
      <c r="M124" s="10" t="n">
        <v>-4331920.0375</v>
      </c>
      <c r="N124" s="10" t="n">
        <v>-4577542.5125</v>
      </c>
      <c r="O124" s="10" t="n">
        <v>-4835678.9625</v>
      </c>
      <c r="P124" s="10" t="n">
        <v>-1173306.95</v>
      </c>
      <c r="Q124" s="10" t="n">
        <f aca="false">AVERAGE(M124:P124)</f>
        <v>-3729612.115625</v>
      </c>
      <c r="ER124" s="10"/>
      <c r="ES124" s="10"/>
    </row>
    <row r="125" customFormat="false" ht="15" hidden="false" customHeight="false" outlineLevel="0" collapsed="false">
      <c r="A125" s="10" t="s">
        <v>20</v>
      </c>
      <c r="B125" s="10" t="n">
        <v>1619064.6</v>
      </c>
      <c r="C125" s="10" t="n">
        <f aca="false">(0.5*B125)+B126+B127+B128+(0.5*B129)/4</f>
        <v>5999879.95</v>
      </c>
      <c r="D125" s="10" t="n">
        <f aca="false">B125-C125</f>
        <v>-4380815.35</v>
      </c>
      <c r="E125" s="10" t="n">
        <v>-3234788.54375</v>
      </c>
      <c r="F125" s="10" t="n">
        <f aca="false">B125-E125</f>
        <v>4853853.14375</v>
      </c>
      <c r="G125" s="10" t="n">
        <f aca="false">AVERAGE(F124:F126)</f>
        <v>5478010.91041667</v>
      </c>
      <c r="H125" s="10" t="n">
        <f aca="false">E125-G125</f>
        <v>-8712799.45416667</v>
      </c>
      <c r="I125" s="12" t="n">
        <f aca="false">B125-H125</f>
        <v>10331864.0541667</v>
      </c>
      <c r="J125" s="11" t="n">
        <f aca="false">STANDARDIZE(I125,$I$140,$I$144)</f>
        <v>-1.53544114511873</v>
      </c>
      <c r="L125" s="11" t="s">
        <v>70</v>
      </c>
      <c r="M125" s="10" t="n">
        <v>-4380815.35</v>
      </c>
      <c r="N125" s="10" t="n">
        <v>-4673490.1</v>
      </c>
      <c r="O125" s="10" t="n">
        <v>-4944469.625</v>
      </c>
      <c r="P125" s="10" t="n">
        <v>1059620.9</v>
      </c>
      <c r="Q125" s="10" t="n">
        <f aca="false">AVERAGE(M125:P125)</f>
        <v>-3234788.54375</v>
      </c>
      <c r="ER125" s="10"/>
      <c r="ES125" s="10"/>
    </row>
    <row r="126" customFormat="false" ht="15" hidden="false" customHeight="false" outlineLevel="0" collapsed="false">
      <c r="A126" s="10" t="s">
        <v>21</v>
      </c>
      <c r="B126" s="10" t="n">
        <v>1637561.7</v>
      </c>
      <c r="C126" s="10" t="n">
        <f aca="false">(0.5*B126)+B127+B128+B129+(0.5*B130)/4</f>
        <v>6062768.6875</v>
      </c>
      <c r="D126" s="10" t="n">
        <f aca="false">B126-C126</f>
        <v>-4425206.9875</v>
      </c>
      <c r="E126" s="10" t="n">
        <v>-4600010.771875</v>
      </c>
      <c r="F126" s="10" t="n">
        <f aca="false">B126-E126</f>
        <v>6237572.471875</v>
      </c>
      <c r="G126" s="10" t="n">
        <f aca="false">AVERAGE(F125:F127)</f>
        <v>5635092.47083333</v>
      </c>
      <c r="H126" s="10" t="n">
        <f aca="false">E126-G126</f>
        <v>-10235103.2427083</v>
      </c>
      <c r="I126" s="12" t="n">
        <f aca="false">B126-H126</f>
        <v>11872664.9427083</v>
      </c>
      <c r="J126" s="11" t="n">
        <f aca="false">STANDARDIZE(I126,$I$140,$I$144)</f>
        <v>0.803025936678892</v>
      </c>
      <c r="ER126" s="10"/>
      <c r="ES126" s="10"/>
    </row>
    <row r="127" customFormat="false" ht="15" hidden="false" customHeight="false" outlineLevel="0" collapsed="false">
      <c r="A127" s="10" t="s">
        <v>22</v>
      </c>
      <c r="B127" s="10" t="n">
        <v>1673210.6</v>
      </c>
      <c r="C127" s="10" t="n">
        <f aca="false">(0.5*B127)+B128+B129+B130+(0.5*B131)/4</f>
        <v>6133090.5125</v>
      </c>
      <c r="D127" s="10" t="n">
        <f aca="false">B127-C127</f>
        <v>-4459879.9125</v>
      </c>
      <c r="E127" s="10" t="n">
        <v>-4140641.196875</v>
      </c>
      <c r="F127" s="10" t="n">
        <f aca="false">B127-E127</f>
        <v>5813851.796875</v>
      </c>
      <c r="G127" s="10" t="n">
        <f aca="false">AVERAGE(F126:F128)</f>
        <v>5816560.49479167</v>
      </c>
      <c r="H127" s="10" t="n">
        <f aca="false">E127-G127</f>
        <v>-9957201.69166667</v>
      </c>
      <c r="I127" s="12" t="n">
        <f aca="false">B127-H127</f>
        <v>11630412.2916667</v>
      </c>
      <c r="J127" s="11" t="n">
        <f aca="false">STANDARDIZE(I127,$I$140,$I$144)</f>
        <v>0.435360098638439</v>
      </c>
      <c r="ER127" s="10"/>
      <c r="ES127" s="10"/>
    </row>
    <row r="128" customFormat="false" ht="15" hidden="false" customHeight="false" outlineLevel="0" collapsed="false">
      <c r="A128" s="10" t="s">
        <v>23</v>
      </c>
      <c r="B128" s="10" t="n">
        <v>1668645.1</v>
      </c>
      <c r="C128" s="10" t="n">
        <f aca="false">(0.5*B128)+B129+B130+B131+(0.5*B132)/4</f>
        <v>6246187.6125</v>
      </c>
      <c r="D128" s="10" t="n">
        <f aca="false">B128-C128</f>
        <v>-4577542.5125</v>
      </c>
      <c r="E128" s="10" t="n">
        <v>-3729612.115625</v>
      </c>
      <c r="F128" s="10" t="n">
        <f aca="false">B128-E128</f>
        <v>5398257.215625</v>
      </c>
      <c r="G128" s="10" t="n">
        <f aca="false">AVERAGE(F127:F129)</f>
        <v>5378113.18541667</v>
      </c>
      <c r="H128" s="10" t="n">
        <f aca="false">E128-G128</f>
        <v>-9107725.30104167</v>
      </c>
      <c r="I128" s="12" t="n">
        <f aca="false">B128-H128</f>
        <v>10776370.4010417</v>
      </c>
      <c r="J128" s="11" t="n">
        <f aca="false">STANDARDIZE(I128,$I$140,$I$144)</f>
        <v>-0.860815716520275</v>
      </c>
    </row>
    <row r="129" customFormat="false" ht="16.4" hidden="false" customHeight="false" outlineLevel="0" collapsed="false">
      <c r="A129" s="10" t="s">
        <v>24</v>
      </c>
      <c r="B129" s="10" t="n">
        <v>1687442</v>
      </c>
      <c r="C129" s="10" t="n">
        <f aca="false">(0.5*B129)+B130+B131+B132+(0.5*B133)/4</f>
        <v>6360932.1</v>
      </c>
      <c r="D129" s="10" t="n">
        <f aca="false">B129-C129</f>
        <v>-4673490.1</v>
      </c>
      <c r="E129" s="10" t="n">
        <v>-3234788.54375</v>
      </c>
      <c r="F129" s="10" t="n">
        <f aca="false">B129-E129</f>
        <v>4922230.54375</v>
      </c>
      <c r="G129" s="10" t="n">
        <f aca="false">AVERAGE(F128:F130)</f>
        <v>5546006.54375</v>
      </c>
      <c r="H129" s="10" t="n">
        <f aca="false">E129-G129</f>
        <v>-8780795.0875</v>
      </c>
      <c r="I129" s="12" t="n">
        <f aca="false">B129-H129</f>
        <v>10468237.0875</v>
      </c>
      <c r="J129" s="11" t="n">
        <f aca="false">STANDARDIZE(I129,$I$140,$I$144)</f>
        <v>-1.3284683612461</v>
      </c>
      <c r="L129" s="33" t="s">
        <v>75</v>
      </c>
      <c r="M129" s="9" t="n">
        <f aca="false">_xlfn.STDEV.P(C20:C35)</f>
        <v>132130.035213847</v>
      </c>
    </row>
    <row r="130" customFormat="false" ht="15" hidden="false" customHeight="false" outlineLevel="0" collapsed="false">
      <c r="A130" s="10" t="s">
        <v>25</v>
      </c>
      <c r="B130" s="10" t="n">
        <v>1717521.1</v>
      </c>
      <c r="C130" s="10" t="n">
        <f aca="false">(0.5*B130)+B131+B132+B133+(0.5*B134)/4</f>
        <v>6465601.3375</v>
      </c>
      <c r="D130" s="10" t="n">
        <f aca="false">B130-C130</f>
        <v>-4748080.2375</v>
      </c>
      <c r="E130" s="10" t="n">
        <v>-4600010.771875</v>
      </c>
      <c r="F130" s="10" t="n">
        <f aca="false">B130-E130</f>
        <v>6317531.871875</v>
      </c>
      <c r="G130" s="10" t="n">
        <f aca="false">AVERAGE(F129:F131)</f>
        <v>5721139.90416667</v>
      </c>
      <c r="H130" s="10" t="n">
        <f aca="false">E130-G130</f>
        <v>-10321150.6760417</v>
      </c>
      <c r="I130" s="12" t="n">
        <f aca="false">B130-H130</f>
        <v>12038671.7760417</v>
      </c>
      <c r="J130" s="11" t="n">
        <f aca="false">STANDARDIZE(I130,$I$140,$I$144)</f>
        <v>1.05497381520776</v>
      </c>
    </row>
    <row r="131" customFormat="false" ht="15" hidden="false" customHeight="false" outlineLevel="0" collapsed="false">
      <c r="A131" s="10" t="s">
        <v>26</v>
      </c>
      <c r="B131" s="10" t="n">
        <v>1783016.1</v>
      </c>
      <c r="C131" s="10" t="n">
        <f aca="false">(0.5*B131)+B132+B133+B134+(0.5*B135)/4</f>
        <v>6544838.8</v>
      </c>
      <c r="D131" s="10" t="n">
        <f aca="false">B131-C131</f>
        <v>-4761822.7</v>
      </c>
      <c r="E131" s="10" t="n">
        <v>-4140641.196875</v>
      </c>
      <c r="F131" s="10" t="n">
        <f aca="false">B131-E131</f>
        <v>5923657.296875</v>
      </c>
      <c r="G131" s="10" t="n">
        <f aca="false">AVERAGE(F130:F132)</f>
        <v>5920629.39479167</v>
      </c>
      <c r="H131" s="10" t="n">
        <f aca="false">E131-G131</f>
        <v>-10061270.5916667</v>
      </c>
      <c r="I131" s="12" t="n">
        <f aca="false">B131-H131</f>
        <v>11844286.6916667</v>
      </c>
      <c r="J131" s="11" t="n">
        <f aca="false">STANDARDIZE(I131,$I$140,$I$144)</f>
        <v>0.759956383439772</v>
      </c>
    </row>
    <row r="132" customFormat="false" ht="16.4" hidden="false" customHeight="false" outlineLevel="0" collapsed="false">
      <c r="A132" s="10" t="s">
        <v>27</v>
      </c>
      <c r="B132" s="10" t="n">
        <v>1791086.9</v>
      </c>
      <c r="C132" s="10" t="n">
        <f aca="false">(0.5*B132)+B133+B134+B135+(0.5*B136)/4</f>
        <v>6626765.8625</v>
      </c>
      <c r="D132" s="10" t="n">
        <f aca="false">B132-C132</f>
        <v>-4835678.9625</v>
      </c>
      <c r="E132" s="10" t="n">
        <v>-3729612.115625</v>
      </c>
      <c r="F132" s="10" t="n">
        <f aca="false">B132-E132</f>
        <v>5520699.015625</v>
      </c>
      <c r="G132" s="10" t="n">
        <f aca="false">AVERAGE(F131:F133)</f>
        <v>5494613.61875</v>
      </c>
      <c r="H132" s="10" t="n">
        <f aca="false">E132-G132</f>
        <v>-9224225.734375</v>
      </c>
      <c r="I132" s="12" t="n">
        <f aca="false">B132-H132</f>
        <v>11015312.634375</v>
      </c>
      <c r="J132" s="11" t="n">
        <f aca="false">STANDARDIZE(I132,$I$140,$I$144)</f>
        <v>-0.498174085627875</v>
      </c>
      <c r="L132" s="33" t="s">
        <v>76</v>
      </c>
      <c r="M132" s="34" t="n">
        <f aca="false">(C35/C20)^(1/15)-1</f>
        <v>0.018323089994712</v>
      </c>
    </row>
    <row r="133" customFormat="false" ht="15" hidden="false" customHeight="false" outlineLevel="0" collapsed="false">
      <c r="A133" s="10" t="s">
        <v>28</v>
      </c>
      <c r="B133" s="10" t="n">
        <v>1804696</v>
      </c>
      <c r="C133" s="10" t="n">
        <f aca="false">(0.5*B133)+B134+B135+B136+(0.5*B137)/4</f>
        <v>6749165.625</v>
      </c>
      <c r="D133" s="10" t="n">
        <f aca="false">B133-C133</f>
        <v>-4944469.625</v>
      </c>
      <c r="E133" s="10" t="n">
        <v>-3234788.54375</v>
      </c>
      <c r="F133" s="10" t="n">
        <f aca="false">B133-E133</f>
        <v>5039484.54375</v>
      </c>
      <c r="G133" s="10" t="n">
        <f aca="false">AVERAGE(F132:F134)</f>
        <v>5661509.54375</v>
      </c>
      <c r="H133" s="10" t="n">
        <f aca="false">E133-G133</f>
        <v>-8896298.0875</v>
      </c>
      <c r="I133" s="12" t="n">
        <f aca="false">B133-H133</f>
        <v>10700994.0875</v>
      </c>
      <c r="J133" s="11" t="n">
        <f aca="false">STANDARDIZE(I133,$I$140,$I$144)</f>
        <v>-0.975214033184845</v>
      </c>
    </row>
    <row r="134" customFormat="false" ht="15" hidden="false" customHeight="false" outlineLevel="0" collapsed="false">
      <c r="A134" s="10" t="s">
        <v>29</v>
      </c>
      <c r="B134" s="10" t="n">
        <v>1824334.3</v>
      </c>
      <c r="C134" s="11"/>
      <c r="D134" s="10" t="n">
        <f aca="false">B134-C134</f>
        <v>1824334.3</v>
      </c>
      <c r="E134" s="10" t="n">
        <v>-4600010.771875</v>
      </c>
      <c r="F134" s="10" t="n">
        <f aca="false">B134-E134</f>
        <v>6424345.071875</v>
      </c>
      <c r="G134" s="10" t="n">
        <f aca="false">AVERAGE(F133:F135)</f>
        <v>5823393.07083333</v>
      </c>
      <c r="H134" s="10" t="n">
        <f aca="false">E134-G134</f>
        <v>-10423403.8427083</v>
      </c>
      <c r="I134" s="12" t="n">
        <f aca="false">B134-H134</f>
        <v>12247738.1427083</v>
      </c>
      <c r="J134" s="11" t="n">
        <f aca="false">STANDARDIZE(I134,$I$140,$I$144)</f>
        <v>1.37227296787359</v>
      </c>
    </row>
    <row r="135" customFormat="false" ht="13.5" hidden="false" customHeight="true" outlineLevel="0" collapsed="false">
      <c r="A135" s="10" t="s">
        <v>30</v>
      </c>
      <c r="B135" s="10" t="n">
        <v>1865708.4</v>
      </c>
      <c r="C135" s="11"/>
      <c r="D135" s="10" t="n">
        <f aca="false">B135-C135</f>
        <v>1865708.4</v>
      </c>
      <c r="E135" s="10" t="n">
        <v>-4140641.196875</v>
      </c>
      <c r="F135" s="10" t="n">
        <f aca="false">B135-E135</f>
        <v>6006349.596875</v>
      </c>
      <c r="G135" s="10" t="n">
        <f aca="false">AVERAGE(F134:F136)</f>
        <v>6017392.16145833</v>
      </c>
      <c r="H135" s="10" t="n">
        <f aca="false">E135-G135</f>
        <v>-10158033.3583333</v>
      </c>
      <c r="I135" s="12" t="n">
        <f aca="false">B135-H135</f>
        <v>12023741.7583333</v>
      </c>
      <c r="J135" s="11" t="n">
        <f aca="false">STANDARDIZE(I135,$I$140,$I$144)</f>
        <v>1.03231458960552</v>
      </c>
      <c r="L135" s="35" t="s">
        <v>77</v>
      </c>
      <c r="M135" s="35" t="s">
        <v>78</v>
      </c>
      <c r="N135" s="35" t="s">
        <v>79</v>
      </c>
    </row>
    <row r="136" customFormat="false" ht="15" hidden="false" customHeight="false" outlineLevel="0" collapsed="false">
      <c r="A136" s="10" t="s">
        <v>31</v>
      </c>
      <c r="B136" s="10" t="n">
        <v>1891869.7</v>
      </c>
      <c r="C136" s="11"/>
      <c r="D136" s="10" t="n">
        <f aca="false">B136-C136</f>
        <v>1891869.7</v>
      </c>
      <c r="E136" s="10" t="n">
        <v>-3729612.115625</v>
      </c>
      <c r="F136" s="10" t="n">
        <f aca="false">B136-E136</f>
        <v>5621481.815625</v>
      </c>
      <c r="G136" s="10" t="n">
        <f aca="false">AVERAGE(F135:F137)</f>
        <v>5660620.58541667</v>
      </c>
      <c r="H136" s="10" t="n">
        <f aca="false">E136-G136</f>
        <v>-9390232.70104167</v>
      </c>
      <c r="I136" s="12" t="n">
        <f aca="false">B136-H136</f>
        <v>11282102.4010417</v>
      </c>
      <c r="J136" s="11" t="n">
        <f aca="false">STANDARDIZE(I136,$I$140,$I$144)</f>
        <v>-0.0932683695486531</v>
      </c>
      <c r="L136" s="36" t="s">
        <v>80</v>
      </c>
      <c r="M136" s="11" t="n">
        <v>-1.5</v>
      </c>
      <c r="N136" s="11" t="n">
        <f aca="false">COUNTIF(J122:J137,"&lt;"&amp;M136)</f>
        <v>1</v>
      </c>
    </row>
    <row r="137" customFormat="false" ht="15" hidden="false" customHeight="false" outlineLevel="0" collapsed="false">
      <c r="A137" s="10" t="s">
        <v>32</v>
      </c>
      <c r="B137" s="10" t="n">
        <v>2119241.8</v>
      </c>
      <c r="C137" s="11"/>
      <c r="D137" s="10" t="n">
        <f aca="false">B137-C137</f>
        <v>2119241.8</v>
      </c>
      <c r="E137" s="10" t="n">
        <v>-3234788.54375</v>
      </c>
      <c r="F137" s="10" t="n">
        <f aca="false">B137-E137</f>
        <v>5354030.34375</v>
      </c>
      <c r="G137" s="10" t="n">
        <f aca="false">AVERAGE(F136:F137)</f>
        <v>5487756.0796875</v>
      </c>
      <c r="H137" s="10" t="n">
        <f aca="false">E137-G137</f>
        <v>-8722544.6234375</v>
      </c>
      <c r="I137" s="12" t="n">
        <f aca="false">B137-H137</f>
        <v>10841786.4234375</v>
      </c>
      <c r="J137" s="11" t="n">
        <f aca="false">STANDARDIZE(I137,$I$140,$I$144)</f>
        <v>-0.761534092182963</v>
      </c>
      <c r="L137" s="11" t="n">
        <f aca="false">M136</f>
        <v>-1.5</v>
      </c>
      <c r="M137" s="11" t="n">
        <f aca="false">M136+0.5</f>
        <v>-1</v>
      </c>
      <c r="N137" s="11" t="n">
        <f aca="false">COUNTIF($J$122:$J$137,"&gt;="&amp;M137)-COUNTIF($J$122:$J$137,"&gt;"&amp;M138)</f>
        <v>3</v>
      </c>
    </row>
    <row r="138" customFormat="false" ht="15" hidden="false" customHeight="false" outlineLevel="0" collapsed="false">
      <c r="A138" s="9"/>
      <c r="B138" s="9"/>
      <c r="E138" s="9"/>
      <c r="G138" s="9"/>
      <c r="L138" s="11" t="n">
        <f aca="false">M137</f>
        <v>-1</v>
      </c>
      <c r="M138" s="11" t="n">
        <f aca="false">M137+0.5</f>
        <v>-0.5</v>
      </c>
      <c r="N138" s="11" t="n">
        <f aca="false">COUNTIF($J$122:$J$137,"&gt;="&amp;M138)-COUNTIF($J$122:$J$137,"&gt;"&amp;M139)</f>
        <v>2</v>
      </c>
    </row>
    <row r="139" customFormat="false" ht="16.4" hidden="false" customHeight="false" outlineLevel="0" collapsed="false">
      <c r="A139" s="9"/>
      <c r="B139" s="9"/>
      <c r="E139" s="9"/>
      <c r="G139" s="9"/>
      <c r="I139" s="25" t="s">
        <v>47</v>
      </c>
      <c r="J139" s="37" t="s">
        <v>48</v>
      </c>
      <c r="L139" s="11" t="n">
        <f aca="false">M138</f>
        <v>-0.5</v>
      </c>
      <c r="M139" s="11" t="n">
        <f aca="false">M138+0.5</f>
        <v>0</v>
      </c>
      <c r="N139" s="11" t="n">
        <f aca="false">COUNTIF($J$122:$J$137,"&gt;="&amp;M139)-COUNTIF($J$122:$J$137,"&gt;"&amp;M140)</f>
        <v>2</v>
      </c>
    </row>
    <row r="140" customFormat="false" ht="15" hidden="false" customHeight="false" outlineLevel="0" collapsed="false">
      <c r="A140" s="9"/>
      <c r="B140" s="9"/>
      <c r="E140" s="9"/>
      <c r="G140" s="9"/>
      <c r="H140" s="39" t="s">
        <v>81</v>
      </c>
      <c r="I140" s="48" t="n">
        <f aca="false">AVERAGE(I122:I137)</f>
        <v>11343556.3286133</v>
      </c>
      <c r="J140" s="48" t="n">
        <f aca="false">AVERAGE(J122:J137)</f>
        <v>-1.75207071073658E-016</v>
      </c>
      <c r="L140" s="11" t="n">
        <f aca="false">M139</f>
        <v>0</v>
      </c>
      <c r="M140" s="11" t="n">
        <f aca="false">M139+0.5</f>
        <v>0.5</v>
      </c>
      <c r="N140" s="11" t="n">
        <f aca="false">COUNTIF($J$122:$J$137,"&gt;="&amp;M140)-COUNTIF($J$122:$J$137,"&gt;"&amp;M141)</f>
        <v>2</v>
      </c>
    </row>
    <row r="141" customFormat="false" ht="15" hidden="false" customHeight="false" outlineLevel="0" collapsed="false">
      <c r="A141" s="9"/>
      <c r="B141" s="9"/>
      <c r="E141" s="9"/>
      <c r="G141" s="9"/>
      <c r="H141" s="35" t="s">
        <v>82</v>
      </c>
      <c r="I141" s="10" t="n">
        <f aca="false">VAR(I122:I137)</f>
        <v>434140716688.424</v>
      </c>
      <c r="J141" s="10" t="n">
        <f aca="false">VAR(J122:J137)</f>
        <v>1</v>
      </c>
      <c r="L141" s="11" t="n">
        <f aca="false">M140</f>
        <v>0.5</v>
      </c>
      <c r="M141" s="11" t="n">
        <f aca="false">M140+0.5</f>
        <v>1</v>
      </c>
      <c r="N141" s="11" t="n">
        <f aca="false">COUNTIF($J$122:$J$137,"&gt;="&amp;M141)-COUNTIF($J$122:$J$137,"&gt;"&amp;M142)</f>
        <v>4</v>
      </c>
    </row>
    <row r="142" customFormat="false" ht="15" hidden="false" customHeight="false" outlineLevel="0" collapsed="false">
      <c r="A142" s="9"/>
      <c r="B142" s="9"/>
      <c r="E142" s="9"/>
      <c r="G142" s="9"/>
      <c r="H142" s="35" t="s">
        <v>83</v>
      </c>
      <c r="I142" s="10"/>
      <c r="J142" s="10" t="n">
        <f aca="false">MIN(J122:J137)</f>
        <v>-1.53544114511873</v>
      </c>
      <c r="L142" s="11" t="n">
        <f aca="false">M141</f>
        <v>1</v>
      </c>
      <c r="M142" s="11" t="n">
        <f aca="false">M141+0.5</f>
        <v>1.5</v>
      </c>
      <c r="N142" s="11" t="n">
        <f aca="false">COUNTIF($J$122:$J$137,"&gt;="&amp;M142)-COUNTIF($J$122:$J$137,"&gt;"&amp;M143)</f>
        <v>0</v>
      </c>
    </row>
    <row r="143" customFormat="false" ht="15" hidden="false" customHeight="false" outlineLevel="0" collapsed="false">
      <c r="H143" s="35" t="s">
        <v>85</v>
      </c>
      <c r="I143" s="11"/>
      <c r="J143" s="11" t="n">
        <f aca="false">MAX(J122:J137)</f>
        <v>1.37227296787359</v>
      </c>
      <c r="L143" s="11" t="n">
        <f aca="false">M142</f>
        <v>1.5</v>
      </c>
      <c r="M143" s="36" t="s">
        <v>84</v>
      </c>
      <c r="N143" s="11" t="n">
        <f aca="false">COUNTIF($J$122:$J$137,"&gt;="&amp;M143)-COUNTIF($J$122:$J$137,"&gt;"&amp;M144)</f>
        <v>0</v>
      </c>
    </row>
    <row r="144" customFormat="false" ht="15" hidden="false" customHeight="false" outlineLevel="0" collapsed="false">
      <c r="C144" s="23"/>
      <c r="H144" s="35" t="s">
        <v>86</v>
      </c>
      <c r="I144" s="11" t="n">
        <f aca="false">SQRT(I141)</f>
        <v>658893.554899745</v>
      </c>
      <c r="J144" s="11"/>
      <c r="K144" s="23"/>
      <c r="L144" s="23"/>
    </row>
    <row r="145" customFormat="false" ht="15" hidden="false" customHeight="false" outlineLevel="0" collapsed="false">
      <c r="C145" s="23"/>
      <c r="H145" s="43"/>
      <c r="K145" s="23"/>
      <c r="L145" s="23"/>
    </row>
    <row r="146" customFormat="false" ht="15" hidden="false" customHeight="false" outlineLevel="0" collapsed="false">
      <c r="C146" s="23"/>
      <c r="H146" s="43"/>
      <c r="K146" s="23"/>
      <c r="L146" s="23"/>
    </row>
    <row r="147" customFormat="false" ht="15" hidden="false" customHeight="false" outlineLevel="0" collapsed="false">
      <c r="C147" s="23"/>
      <c r="H147" s="43"/>
      <c r="K147" s="23"/>
      <c r="L147" s="23"/>
    </row>
    <row r="148" customFormat="false" ht="15" hidden="false" customHeight="false" outlineLevel="0" collapsed="false">
      <c r="A148" s="23"/>
      <c r="B148" s="43" t="s">
        <v>13</v>
      </c>
      <c r="C148" s="43"/>
    </row>
    <row r="149" customFormat="false" ht="16.4" hidden="false" customHeight="false" outlineLevel="0" collapsed="false">
      <c r="A149" s="44" t="s">
        <v>39</v>
      </c>
      <c r="B149" s="45" t="s">
        <v>87</v>
      </c>
      <c r="C149" s="45" t="s">
        <v>88</v>
      </c>
      <c r="D149" s="45" t="s">
        <v>89</v>
      </c>
      <c r="E149" s="45" t="s">
        <v>90</v>
      </c>
      <c r="F149" s="45" t="s">
        <v>91</v>
      </c>
      <c r="G149" s="45" t="s">
        <v>92</v>
      </c>
      <c r="H149" s="45" t="s">
        <v>93</v>
      </c>
      <c r="I149" s="46" t="s">
        <v>94</v>
      </c>
      <c r="J149" s="29" t="s">
        <v>48</v>
      </c>
      <c r="L149" s="47" t="s">
        <v>97</v>
      </c>
      <c r="M149" s="49" t="n">
        <v>2007</v>
      </c>
      <c r="N149" s="11" t="n">
        <v>2008</v>
      </c>
      <c r="O149" s="11" t="n">
        <v>2009</v>
      </c>
      <c r="P149" s="11" t="n">
        <v>2010</v>
      </c>
      <c r="Q149" s="36" t="s">
        <v>96</v>
      </c>
    </row>
    <row r="150" customFormat="false" ht="15" hidden="false" customHeight="false" outlineLevel="0" collapsed="false">
      <c r="A150" s="10" t="s">
        <v>17</v>
      </c>
      <c r="B150" s="10" t="n">
        <v>398734</v>
      </c>
      <c r="C150" s="11" t="n">
        <f aca="false">(0.5*B150)+B151+B152+B153+(0.5*B154)/4</f>
        <v>1422874.75</v>
      </c>
      <c r="D150" s="10" t="n">
        <f aca="false">B150-C150</f>
        <v>-1024140.75</v>
      </c>
      <c r="E150" s="10" t="n">
        <v>-748059.21875</v>
      </c>
      <c r="F150" s="10" t="n">
        <f aca="false">B150-E150</f>
        <v>1146793.21875</v>
      </c>
      <c r="G150" s="10" t="n">
        <f aca="false">AVERAGE(F150:F151)</f>
        <v>1160060.21875</v>
      </c>
      <c r="H150" s="10" t="n">
        <f aca="false">E150+G150</f>
        <v>412001</v>
      </c>
      <c r="I150" s="12" t="n">
        <f aca="false">B150-H150</f>
        <v>-13267</v>
      </c>
      <c r="J150" s="11" t="n">
        <f aca="false">STANDARDIZE(I150,$I$168,$I$172)</f>
        <v>-0.477232776416809</v>
      </c>
      <c r="L150" s="11" t="s">
        <v>52</v>
      </c>
      <c r="M150" s="10" t="n">
        <v>-1024140.75</v>
      </c>
      <c r="N150" s="11" t="n">
        <v>-1104059.75</v>
      </c>
      <c r="O150" s="10" t="n">
        <v>-1450887.375</v>
      </c>
      <c r="P150" s="10" t="n">
        <v>586851</v>
      </c>
      <c r="Q150" s="10" t="n">
        <f aca="false">AVERAGE(M150:P150)</f>
        <v>-748059.21875</v>
      </c>
    </row>
    <row r="151" customFormat="false" ht="15" hidden="false" customHeight="false" outlineLevel="0" collapsed="false">
      <c r="A151" s="10" t="s">
        <v>18</v>
      </c>
      <c r="B151" s="10" t="n">
        <v>400012</v>
      </c>
      <c r="C151" s="11" t="n">
        <f aca="false">(0.5*B151)+B152+B153+B154+(0.5*B155)/4</f>
        <v>1405067.75</v>
      </c>
      <c r="D151" s="10" t="n">
        <f aca="false">B151-C151</f>
        <v>-1005055.75</v>
      </c>
      <c r="E151" s="10" t="n">
        <v>-773315.21875</v>
      </c>
      <c r="F151" s="10" t="n">
        <f aca="false">B151-E151</f>
        <v>1173327.21875</v>
      </c>
      <c r="G151" s="10" t="n">
        <f aca="false">AVERAGE(F150:F152)</f>
        <v>1175168.78125</v>
      </c>
      <c r="H151" s="10" t="n">
        <f aca="false">E151+G151</f>
        <v>401853.5625</v>
      </c>
      <c r="I151" s="12" t="n">
        <f aca="false">B151-H151</f>
        <v>-1841.5625</v>
      </c>
      <c r="J151" s="11" t="n">
        <f aca="false">STANDARDIZE(I151,$I$168,$I$172)</f>
        <v>-0.0758889655056978</v>
      </c>
      <c r="L151" s="11" t="s">
        <v>58</v>
      </c>
      <c r="M151" s="10" t="n">
        <v>-1005055.75</v>
      </c>
      <c r="N151" s="10" t="n">
        <v>-1186630.625</v>
      </c>
      <c r="O151" s="11" t="n">
        <v>-1510606.5</v>
      </c>
      <c r="P151" s="10" t="n">
        <v>609032</v>
      </c>
      <c r="Q151" s="10" t="n">
        <f aca="false">AVERAGE(M151:P151)</f>
        <v>-773315.21875</v>
      </c>
      <c r="ER151" s="11"/>
      <c r="ES151" s="36"/>
    </row>
    <row r="152" customFormat="false" ht="15" hidden="false" customHeight="false" outlineLevel="0" collapsed="false">
      <c r="A152" s="10" t="s">
        <v>19</v>
      </c>
      <c r="B152" s="10" t="n">
        <v>391300</v>
      </c>
      <c r="C152" s="11" t="n">
        <f aca="false">(0.5*B152)+B153+B154+B155+(0.5*B156)/4</f>
        <v>1401685.25</v>
      </c>
      <c r="D152" s="10" t="n">
        <f aca="false">B152-C152</f>
        <v>-1010385.25</v>
      </c>
      <c r="E152" s="10" t="n">
        <v>-814085.90625</v>
      </c>
      <c r="F152" s="10" t="n">
        <f aca="false">B152-E152</f>
        <v>1205385.90625</v>
      </c>
      <c r="G152" s="10" t="n">
        <f aca="false">AVERAGE(F151:F153)</f>
        <v>1201997.26041667</v>
      </c>
      <c r="H152" s="10" t="n">
        <f aca="false">E152+G152</f>
        <v>387911.354166667</v>
      </c>
      <c r="I152" s="12" t="n">
        <f aca="false">B152-H152</f>
        <v>3388.64583333326</v>
      </c>
      <c r="J152" s="11" t="n">
        <f aca="false">STANDARDIZE(I152,$I$168,$I$172)</f>
        <v>0.107833692323293</v>
      </c>
      <c r="L152" s="11" t="s">
        <v>64</v>
      </c>
      <c r="M152" s="10" t="n">
        <v>-1010385.25</v>
      </c>
      <c r="N152" s="11" t="n">
        <v>-1290352.75</v>
      </c>
      <c r="O152" s="10" t="n">
        <v>-1576146.625</v>
      </c>
      <c r="P152" s="10" t="n">
        <v>620541</v>
      </c>
      <c r="Q152" s="10" t="n">
        <f aca="false">AVERAGE(M152:P152)</f>
        <v>-814085.90625</v>
      </c>
      <c r="ER152" s="10"/>
      <c r="ES152" s="10"/>
    </row>
    <row r="153" customFormat="false" ht="15" hidden="false" customHeight="false" outlineLevel="0" collapsed="false">
      <c r="A153" s="10" t="s">
        <v>20</v>
      </c>
      <c r="B153" s="10" t="n">
        <v>384662</v>
      </c>
      <c r="C153" s="10" t="n">
        <f aca="false">(0.5*B153)+B154+B155+B156+(0.5*B157)/4</f>
        <v>1422038.625</v>
      </c>
      <c r="D153" s="10" t="n">
        <f aca="false">B153-C153</f>
        <v>-1037376.625</v>
      </c>
      <c r="E153" s="10" t="n">
        <v>-842616.65625</v>
      </c>
      <c r="F153" s="10" t="n">
        <f aca="false">B153-E153</f>
        <v>1227278.65625</v>
      </c>
      <c r="G153" s="10" t="n">
        <f aca="false">AVERAGE(F152:F154)</f>
        <v>1186997.92708333</v>
      </c>
      <c r="H153" s="10" t="n">
        <f aca="false">E153+G153</f>
        <v>344381.270833333</v>
      </c>
      <c r="I153" s="12" t="n">
        <f aca="false">B153-H153</f>
        <v>40280.7291666667</v>
      </c>
      <c r="J153" s="11" t="n">
        <f aca="false">STANDARDIZE(I153,$I$168,$I$172)</f>
        <v>1.40374987211513</v>
      </c>
      <c r="L153" s="11" t="s">
        <v>70</v>
      </c>
      <c r="M153" s="10" t="n">
        <v>-1037376.625</v>
      </c>
      <c r="N153" s="10" t="n">
        <v>-1369442.375</v>
      </c>
      <c r="O153" s="10" t="n">
        <v>-1612800.625</v>
      </c>
      <c r="P153" s="10" t="n">
        <v>649153</v>
      </c>
      <c r="Q153" s="10" t="n">
        <f aca="false">AVERAGE(M153:P153)</f>
        <v>-842616.65625</v>
      </c>
      <c r="ER153" s="10"/>
      <c r="ES153" s="10"/>
    </row>
    <row r="154" customFormat="false" ht="15" hidden="false" customHeight="false" outlineLevel="0" collapsed="false">
      <c r="A154" s="10" t="s">
        <v>21</v>
      </c>
      <c r="B154" s="10" t="n">
        <v>380270</v>
      </c>
      <c r="C154" s="11" t="n">
        <f aca="false">(0.5*B154)+B155+B156+B157+(0.5*B158)/4</f>
        <v>1484329.75</v>
      </c>
      <c r="D154" s="10" t="n">
        <f aca="false">B154-C154</f>
        <v>-1104059.75</v>
      </c>
      <c r="E154" s="10" t="n">
        <v>-748059.21875</v>
      </c>
      <c r="F154" s="10" t="n">
        <f aca="false">B154-E154</f>
        <v>1128329.21875</v>
      </c>
      <c r="G154" s="10" t="n">
        <f aca="false">AVERAGE(F153:F155)</f>
        <v>1173187.03125</v>
      </c>
      <c r="H154" s="10" t="n">
        <f aca="false">E154+G154</f>
        <v>425127.8125</v>
      </c>
      <c r="I154" s="12" t="n">
        <f aca="false">B154-H154</f>
        <v>-44857.8125</v>
      </c>
      <c r="J154" s="11" t="n">
        <f aca="false">STANDARDIZE(I154,$I$168,$I$172)</f>
        <v>-1.58693007059293</v>
      </c>
      <c r="ER154" s="10"/>
      <c r="ES154" s="10"/>
    </row>
    <row r="155" customFormat="false" ht="15" hidden="false" customHeight="false" outlineLevel="0" collapsed="false">
      <c r="A155" s="10" t="s">
        <v>22</v>
      </c>
      <c r="B155" s="10" t="n">
        <v>390638</v>
      </c>
      <c r="C155" s="10" t="n">
        <f aca="false">(0.5*B155)+B156+B157+B158+(0.5*B159)/4</f>
        <v>1577268.625</v>
      </c>
      <c r="D155" s="10" t="n">
        <f aca="false">B155-C155</f>
        <v>-1186630.625</v>
      </c>
      <c r="E155" s="10" t="n">
        <v>-773315.21875</v>
      </c>
      <c r="F155" s="10" t="n">
        <f aca="false">B155-E155</f>
        <v>1163953.21875</v>
      </c>
      <c r="G155" s="10" t="n">
        <f aca="false">AVERAGE(F154:F156)</f>
        <v>1170030.11458333</v>
      </c>
      <c r="H155" s="10" t="n">
        <f aca="false">E155+G155</f>
        <v>396714.895833333</v>
      </c>
      <c r="I155" s="12" t="n">
        <f aca="false">B155-H155</f>
        <v>-6076.89583333326</v>
      </c>
      <c r="J155" s="11" t="n">
        <f aca="false">STANDARDIZE(I155,$I$168,$I$172)</f>
        <v>-0.224664434320684</v>
      </c>
      <c r="ER155" s="10"/>
      <c r="ES155" s="10"/>
    </row>
    <row r="156" customFormat="false" ht="15" hidden="false" customHeight="false" outlineLevel="0" collapsed="false">
      <c r="A156" s="10" t="s">
        <v>23</v>
      </c>
      <c r="B156" s="10" t="n">
        <v>403722</v>
      </c>
      <c r="C156" s="11" t="n">
        <f aca="false">(0.5*B156)+B157+B158+B159+(0.5*B160)/4</f>
        <v>1694074.75</v>
      </c>
      <c r="D156" s="10" t="n">
        <f aca="false">B156-C156</f>
        <v>-1290352.75</v>
      </c>
      <c r="E156" s="10" t="n">
        <v>-814085.90625</v>
      </c>
      <c r="F156" s="10" t="n">
        <f aca="false">B156-E156</f>
        <v>1217807.90625</v>
      </c>
      <c r="G156" s="10" t="n">
        <f aca="false">AVERAGE(F155:F157)</f>
        <v>1221666.26041667</v>
      </c>
      <c r="H156" s="10" t="n">
        <f aca="false">E156+G156</f>
        <v>407580.354166667</v>
      </c>
      <c r="I156" s="12" t="n">
        <f aca="false">B156-H156</f>
        <v>-3858.35416666674</v>
      </c>
      <c r="J156" s="11" t="n">
        <f aca="false">STANDARDIZE(I156,$I$168,$I$172)</f>
        <v>-0.1467332419996</v>
      </c>
    </row>
    <row r="157" customFormat="false" ht="15" hidden="false" customHeight="true" outlineLevel="0" collapsed="false">
      <c r="A157" s="10" t="s">
        <v>24</v>
      </c>
      <c r="B157" s="10" t="n">
        <v>440621</v>
      </c>
      <c r="C157" s="10" t="n">
        <f aca="false">(0.5*B157)+B158+B159+B160+(0.5*B161)/4</f>
        <v>1810063.375</v>
      </c>
      <c r="D157" s="10" t="n">
        <f aca="false">B157-C157</f>
        <v>-1369442.375</v>
      </c>
      <c r="E157" s="10" t="n">
        <v>-842616.65625</v>
      </c>
      <c r="F157" s="10" t="n">
        <f aca="false">B157-E157</f>
        <v>1283237.65625</v>
      </c>
      <c r="G157" s="10" t="n">
        <f aca="false">AVERAGE(F156:F158)</f>
        <v>1240938.26041667</v>
      </c>
      <c r="H157" s="10" t="n">
        <f aca="false">E157+G157</f>
        <v>398321.604166667</v>
      </c>
      <c r="I157" s="12" t="n">
        <f aca="false">B157-H157</f>
        <v>42299.3958333333</v>
      </c>
      <c r="J157" s="11" t="n">
        <f aca="false">STANDARDIZE(I157,$I$168,$I$172)</f>
        <v>1.47466001213901</v>
      </c>
      <c r="L157" s="33" t="s">
        <v>75</v>
      </c>
      <c r="M157" s="9" t="n">
        <f aca="false">_xlfn.STDEV.P(D20:D35)</f>
        <v>94652.967730151</v>
      </c>
    </row>
    <row r="158" customFormat="false" ht="15" hidden="false" customHeight="false" outlineLevel="0" collapsed="false">
      <c r="A158" s="10" t="s">
        <v>25</v>
      </c>
      <c r="B158" s="10" t="n">
        <v>473710</v>
      </c>
      <c r="C158" s="10" t="n">
        <f aca="false">(0.5*B158)+B159+B160+B161+(0.5*B162)/4</f>
        <v>1924597.375</v>
      </c>
      <c r="D158" s="10" t="n">
        <f aca="false">B158-C158</f>
        <v>-1450887.375</v>
      </c>
      <c r="E158" s="10" t="n">
        <v>-748059.21875</v>
      </c>
      <c r="F158" s="10" t="n">
        <f aca="false">B158-E158</f>
        <v>1221769.21875</v>
      </c>
      <c r="G158" s="10" t="n">
        <f aca="false">AVERAGE(F157:F159)</f>
        <v>1263165.03125</v>
      </c>
      <c r="H158" s="10" t="n">
        <f aca="false">E158+G158</f>
        <v>515105.8125</v>
      </c>
      <c r="I158" s="12" t="n">
        <f aca="false">B158-H158</f>
        <v>-41395.8125</v>
      </c>
      <c r="J158" s="11" t="n">
        <f aca="false">STANDARDIZE(I158,$I$168,$I$172)</f>
        <v>-1.46531964881483</v>
      </c>
      <c r="L158" s="23"/>
    </row>
    <row r="159" customFormat="false" ht="15" hidden="false" customHeight="false" outlineLevel="0" collapsed="false">
      <c r="A159" s="10" t="s">
        <v>26</v>
      </c>
      <c r="B159" s="10" t="n">
        <v>511173</v>
      </c>
      <c r="C159" s="11" t="n">
        <f aca="false">(0.5*B159)+B160+B161+B162+(0.5*B163)/4</f>
        <v>2021779.5</v>
      </c>
      <c r="D159" s="10" t="n">
        <f aca="false">B159-C159</f>
        <v>-1510606.5</v>
      </c>
      <c r="E159" s="10" t="n">
        <v>-773315.21875</v>
      </c>
      <c r="F159" s="10" t="n">
        <f aca="false">B159-E159</f>
        <v>1284488.21875</v>
      </c>
      <c r="G159" s="10" t="n">
        <f aca="false">AVERAGE(F158:F160)</f>
        <v>1284673.78125</v>
      </c>
      <c r="H159" s="10" t="n">
        <f aca="false">E159+G159</f>
        <v>511358.5625</v>
      </c>
      <c r="I159" s="12" t="n">
        <f aca="false">B159-H159</f>
        <v>-185.5625</v>
      </c>
      <c r="J159" s="11" t="n">
        <f aca="false">STANDARDIZE(I159,$I$168,$I$172)</f>
        <v>-0.017718295816349</v>
      </c>
      <c r="L159" s="23"/>
    </row>
    <row r="160" customFormat="false" ht="16.4" hidden="false" customHeight="false" outlineLevel="0" collapsed="false">
      <c r="A160" s="10" t="s">
        <v>27</v>
      </c>
      <c r="B160" s="10" t="n">
        <v>533678</v>
      </c>
      <c r="C160" s="10" t="n">
        <f aca="false">(0.5*B160)+B161+B162+B163+(0.5*B164)/4</f>
        <v>2109824.625</v>
      </c>
      <c r="D160" s="10" t="n">
        <f aca="false">B160-C160</f>
        <v>-1576146.625</v>
      </c>
      <c r="E160" s="10" t="n">
        <v>-814085.90625</v>
      </c>
      <c r="F160" s="10" t="n">
        <f aca="false">B160-E160</f>
        <v>1347763.90625</v>
      </c>
      <c r="G160" s="10" t="n">
        <f aca="false">AVERAGE(F159:F161)</f>
        <v>1348134.59375</v>
      </c>
      <c r="H160" s="10" t="n">
        <f aca="false">E160+G160</f>
        <v>534048.6875</v>
      </c>
      <c r="I160" s="12" t="n">
        <f aca="false">B160-H160</f>
        <v>-370.6875</v>
      </c>
      <c r="J160" s="11" t="n">
        <f aca="false">STANDARDIZE(I160,$I$168,$I$172)</f>
        <v>-0.0242212216776054</v>
      </c>
      <c r="L160" s="33" t="s">
        <v>76</v>
      </c>
      <c r="M160" s="34" t="n">
        <f aca="false">(D35/D20)^(1/15)-1</f>
        <v>0.033025209381965</v>
      </c>
    </row>
    <row r="161" customFormat="false" ht="15" hidden="false" customHeight="false" outlineLevel="0" collapsed="false">
      <c r="A161" s="10" t="s">
        <v>28</v>
      </c>
      <c r="B161" s="10" t="n">
        <v>569535</v>
      </c>
      <c r="C161" s="10" t="n">
        <f aca="false">(0.5*B161)+B162+B163+B164+(0.5*B165)/4</f>
        <v>2182335.625</v>
      </c>
      <c r="D161" s="10" t="n">
        <f aca="false">B161-C161</f>
        <v>-1612800.625</v>
      </c>
      <c r="E161" s="10" t="n">
        <v>-842616.65625</v>
      </c>
      <c r="F161" s="10" t="n">
        <f aca="false">B161-E161</f>
        <v>1412151.65625</v>
      </c>
      <c r="G161" s="10" t="n">
        <f aca="false">AVERAGE(F160:F162)</f>
        <v>1364941.92708333</v>
      </c>
      <c r="H161" s="10" t="n">
        <f aca="false">E161+G161</f>
        <v>522325.270833333</v>
      </c>
      <c r="I161" s="12" t="n">
        <f aca="false">B161-H161</f>
        <v>47209.7291666667</v>
      </c>
      <c r="J161" s="11" t="n">
        <f aca="false">STANDARDIZE(I161,$I$168,$I$172)</f>
        <v>1.6471463517513</v>
      </c>
    </row>
    <row r="162" customFormat="false" ht="16.4" hidden="false" customHeight="false" outlineLevel="0" collapsed="false">
      <c r="A162" s="10" t="s">
        <v>29</v>
      </c>
      <c r="B162" s="10" t="n">
        <v>586851</v>
      </c>
      <c r="C162" s="11"/>
      <c r="D162" s="10" t="n">
        <f aca="false">B162-C162</f>
        <v>586851</v>
      </c>
      <c r="E162" s="10" t="n">
        <v>-748059.21875</v>
      </c>
      <c r="F162" s="10" t="n">
        <f aca="false">B162-E162</f>
        <v>1334910.21875</v>
      </c>
      <c r="G162" s="10" t="n">
        <f aca="false">AVERAGE(F161:F163)</f>
        <v>1376469.69791667</v>
      </c>
      <c r="H162" s="10" t="n">
        <f aca="false">E162+G162</f>
        <v>628410.479166667</v>
      </c>
      <c r="I162" s="12" t="n">
        <f aca="false">B162-H162</f>
        <v>-41559.4791666667</v>
      </c>
      <c r="J162" s="11" t="n">
        <f aca="false">STANDARDIZE(I162,$I$168,$I$172)</f>
        <v>-1.47106880316618</v>
      </c>
      <c r="L162" s="35" t="s">
        <v>77</v>
      </c>
      <c r="M162" s="35" t="s">
        <v>78</v>
      </c>
      <c r="N162" s="35" t="s">
        <v>79</v>
      </c>
    </row>
    <row r="163" customFormat="false" ht="15" hidden="false" customHeight="false" outlineLevel="0" collapsed="false">
      <c r="A163" s="10" t="s">
        <v>30</v>
      </c>
      <c r="B163" s="10" t="n">
        <v>609032</v>
      </c>
      <c r="C163" s="11"/>
      <c r="D163" s="10" t="n">
        <f aca="false">B163-C163</f>
        <v>609032</v>
      </c>
      <c r="E163" s="10" t="n">
        <v>-773315.21875</v>
      </c>
      <c r="F163" s="10" t="n">
        <f aca="false">B163-E163</f>
        <v>1382347.21875</v>
      </c>
      <c r="G163" s="10" t="n">
        <f aca="false">AVERAGE(F162:F164)</f>
        <v>1383961.44791667</v>
      </c>
      <c r="H163" s="10" t="n">
        <f aca="false">E163+G163</f>
        <v>610646.229166667</v>
      </c>
      <c r="I163" s="12" t="n">
        <f aca="false">B163-H163</f>
        <v>-1614.22916666674</v>
      </c>
      <c r="J163" s="11" t="n">
        <f aca="false">STANDARDIZE(I163,$I$168,$I$172)</f>
        <v>-0.0679033784026136</v>
      </c>
      <c r="L163" s="36" t="s">
        <v>80</v>
      </c>
      <c r="M163" s="11" t="n">
        <v>-1.5</v>
      </c>
      <c r="N163" s="11" t="n">
        <f aca="false">COUNTIF(J150:J165,"&lt;"&amp;M163)</f>
        <v>1</v>
      </c>
    </row>
    <row r="164" customFormat="false" ht="15" hidden="false" customHeight="false" outlineLevel="0" collapsed="false">
      <c r="A164" s="10" t="s">
        <v>31</v>
      </c>
      <c r="B164" s="10" t="n">
        <v>620541</v>
      </c>
      <c r="C164" s="11"/>
      <c r="D164" s="10" t="n">
        <f aca="false">B164-C164</f>
        <v>620541</v>
      </c>
      <c r="E164" s="10" t="n">
        <v>-814085.90625</v>
      </c>
      <c r="F164" s="10" t="n">
        <f aca="false">B164-E164</f>
        <v>1434626.90625</v>
      </c>
      <c r="G164" s="10" t="n">
        <f aca="false">AVERAGE(F163:F165)</f>
        <v>1436247.92708333</v>
      </c>
      <c r="H164" s="10" t="n">
        <f aca="false">E164+G164</f>
        <v>622162.020833333</v>
      </c>
      <c r="I164" s="12" t="n">
        <f aca="false">B164-H164</f>
        <v>-1621.02083333326</v>
      </c>
      <c r="J164" s="11" t="n">
        <f aca="false">STANDARDIZE(I164,$I$168,$I$172)</f>
        <v>-0.0681419507445809</v>
      </c>
      <c r="L164" s="11" t="n">
        <f aca="false">M163</f>
        <v>-1.5</v>
      </c>
      <c r="M164" s="11" t="n">
        <f aca="false">M163+0.5</f>
        <v>-1</v>
      </c>
      <c r="N164" s="11" t="n">
        <f aca="false">COUNTIF($J$150:$J$165,"&gt;="&amp;M164)-COUNTIF($J$150:$J$165,"&gt;"&amp;M165)</f>
        <v>0</v>
      </c>
    </row>
    <row r="165" customFormat="false" ht="15" hidden="false" customHeight="false" outlineLevel="0" collapsed="false">
      <c r="A165" s="10" t="s">
        <v>32</v>
      </c>
      <c r="B165" s="10" t="n">
        <v>649153</v>
      </c>
      <c r="C165" s="11"/>
      <c r="D165" s="10" t="n">
        <f aca="false">B165-C165</f>
        <v>649153</v>
      </c>
      <c r="E165" s="10" t="n">
        <v>-842616.65625</v>
      </c>
      <c r="F165" s="10" t="n">
        <f aca="false">B165-E165</f>
        <v>1491769.65625</v>
      </c>
      <c r="G165" s="10" t="n">
        <f aca="false">AVERAGE(F164:F165)</f>
        <v>1463198.28125</v>
      </c>
      <c r="H165" s="10" t="n">
        <f aca="false">E165+G165</f>
        <v>620581.625</v>
      </c>
      <c r="I165" s="12" t="n">
        <f aca="false">B165-H165</f>
        <v>28571.375</v>
      </c>
      <c r="J165" s="11" t="n">
        <f aca="false">STANDARDIZE(I165,$I$168,$I$172)</f>
        <v>0.992432859129152</v>
      </c>
      <c r="L165" s="11" t="n">
        <f aca="false">M164</f>
        <v>-1</v>
      </c>
      <c r="M165" s="11" t="n">
        <f aca="false">M164+0.5</f>
        <v>-0.5</v>
      </c>
      <c r="N165" s="11" t="n">
        <f aca="false">COUNTIF($J$150:$J$165,"&gt;="&amp;M165)-COUNTIF($J$150:$J$165,"&gt;"&amp;M166)</f>
        <v>8</v>
      </c>
    </row>
    <row r="166" customFormat="false" ht="15" hidden="false" customHeight="false" outlineLevel="0" collapsed="false">
      <c r="K166" s="23"/>
      <c r="L166" s="11" t="n">
        <f aca="false">M165</f>
        <v>-0.5</v>
      </c>
      <c r="M166" s="11" t="n">
        <f aca="false">M165+0.5</f>
        <v>0</v>
      </c>
      <c r="N166" s="11" t="n">
        <f aca="false">COUNTIF($J$150:$J$165,"&gt;="&amp;M166)-COUNTIF($J$150:$J$165,"&gt;"&amp;M167)</f>
        <v>1</v>
      </c>
    </row>
    <row r="167" customFormat="false" ht="16.4" hidden="false" customHeight="false" outlineLevel="0" collapsed="false">
      <c r="I167" s="25" t="s">
        <v>47</v>
      </c>
      <c r="J167" s="37" t="s">
        <v>48</v>
      </c>
      <c r="K167" s="23"/>
      <c r="L167" s="11" t="n">
        <f aca="false">M166</f>
        <v>0</v>
      </c>
      <c r="M167" s="11" t="n">
        <f aca="false">M166+0.5</f>
        <v>0.5</v>
      </c>
      <c r="N167" s="11" t="n">
        <f aca="false">COUNTIF($J$150:$J$165,"&gt;="&amp;M167)-COUNTIF($J$150:$J$165,"&gt;"&amp;M168)</f>
        <v>1</v>
      </c>
    </row>
    <row r="168" customFormat="false" ht="15" hidden="false" customHeight="false" outlineLevel="0" collapsed="false">
      <c r="H168" s="38" t="s">
        <v>81</v>
      </c>
      <c r="I168" s="10" t="n">
        <f aca="false">AVERAGE(I150:I165)</f>
        <v>318.841145833329</v>
      </c>
      <c r="J168" s="11" t="n">
        <f aca="false">AVERAGE(J150:J165)</f>
        <v>0</v>
      </c>
      <c r="K168" s="23"/>
      <c r="L168" s="11" t="n">
        <f aca="false">M167</f>
        <v>0.5</v>
      </c>
      <c r="M168" s="11" t="n">
        <f aca="false">M167+0.5</f>
        <v>1</v>
      </c>
      <c r="N168" s="11" t="n">
        <f aca="false">COUNTIF($J$150:$J$165,"&gt;="&amp;M168)-COUNTIF($J$150:$J$165,"&gt;"&amp;M169)</f>
        <v>2</v>
      </c>
    </row>
    <row r="169" customFormat="false" ht="15" hidden="false" customHeight="false" outlineLevel="0" collapsed="false">
      <c r="H169" s="39" t="s">
        <v>82</v>
      </c>
      <c r="I169" s="50" t="n">
        <f aca="false">VAR(I150:I165)</f>
        <v>810424454.995132</v>
      </c>
      <c r="J169" s="51" t="n">
        <f aca="false">VAR(J150:J165)</f>
        <v>1</v>
      </c>
      <c r="K169" s="23"/>
      <c r="L169" s="11" t="n">
        <f aca="false">M168</f>
        <v>1</v>
      </c>
      <c r="M169" s="11" t="n">
        <f aca="false">M168+0.5</f>
        <v>1.5</v>
      </c>
      <c r="N169" s="11" t="n">
        <f aca="false">COUNTIF($J$150:$J$165,"&gt;="&amp;M169)-COUNTIF($J$150:$J$165,"&gt;"&amp;M170)</f>
        <v>1</v>
      </c>
    </row>
    <row r="170" customFormat="false" ht="15" hidden="false" customHeight="false" outlineLevel="0" collapsed="false">
      <c r="H170" s="35" t="s">
        <v>83</v>
      </c>
      <c r="I170" s="11"/>
      <c r="J170" s="11" t="n">
        <f aca="false">MIN(J150:J165)</f>
        <v>-1.58693007059293</v>
      </c>
      <c r="K170" s="23"/>
      <c r="L170" s="11" t="n">
        <f aca="false">M169</f>
        <v>1.5</v>
      </c>
      <c r="M170" s="36" t="s">
        <v>84</v>
      </c>
      <c r="N170" s="11" t="n">
        <f aca="false">COUNTIF($J$150:$J$165,"&gt;="&amp;M170)-COUNTIF($J$150:$J$165,"&gt;"&amp;M171)</f>
        <v>0</v>
      </c>
    </row>
    <row r="171" customFormat="false" ht="15" hidden="false" customHeight="false" outlineLevel="0" collapsed="false">
      <c r="H171" s="35" t="s">
        <v>85</v>
      </c>
      <c r="I171" s="11"/>
      <c r="J171" s="11" t="n">
        <f aca="false">MAX(J150:J165)</f>
        <v>1.6471463517513</v>
      </c>
      <c r="K171" s="23"/>
      <c r="L171" s="23"/>
    </row>
    <row r="172" customFormat="false" ht="15" hidden="false" customHeight="false" outlineLevel="0" collapsed="false">
      <c r="C172" s="23"/>
      <c r="H172" s="35" t="s">
        <v>86</v>
      </c>
      <c r="I172" s="11" t="n">
        <f aca="false">SQRT(I169)</f>
        <v>28467.9548790413</v>
      </c>
      <c r="J172" s="11"/>
      <c r="K172" s="23"/>
    </row>
    <row r="173" customFormat="false" ht="15" hidden="false" customHeight="false" outlineLevel="0" collapsed="false">
      <c r="C173" s="23"/>
      <c r="H173" s="43"/>
      <c r="K173" s="23"/>
    </row>
    <row r="174" customFormat="false" ht="15" hidden="false" customHeight="false" outlineLevel="0" collapsed="false">
      <c r="C174" s="23"/>
      <c r="H174" s="43"/>
      <c r="K174" s="23"/>
    </row>
    <row r="175" customFormat="false" ht="15" hidden="false" customHeight="false" outlineLevel="0" collapsed="false">
      <c r="C175" s="23"/>
      <c r="H175" s="43"/>
      <c r="K175" s="23"/>
    </row>
    <row r="176" customFormat="false" ht="15" hidden="false" customHeight="false" outlineLevel="0" collapsed="false">
      <c r="A176" s="23"/>
      <c r="B176" s="43" t="s">
        <v>14</v>
      </c>
      <c r="C176" s="43"/>
      <c r="E176" s="23"/>
      <c r="F176" s="23"/>
      <c r="G176" s="23"/>
      <c r="H176" s="23"/>
      <c r="I176" s="23"/>
      <c r="J176" s="23"/>
    </row>
    <row r="177" customFormat="false" ht="16.4" hidden="false" customHeight="false" outlineLevel="0" collapsed="false">
      <c r="A177" s="44" t="s">
        <v>39</v>
      </c>
      <c r="B177" s="45" t="s">
        <v>87</v>
      </c>
      <c r="C177" s="45" t="s">
        <v>88</v>
      </c>
      <c r="D177" s="45" t="s">
        <v>89</v>
      </c>
      <c r="E177" s="45" t="s">
        <v>90</v>
      </c>
      <c r="F177" s="45" t="s">
        <v>91</v>
      </c>
      <c r="G177" s="45" t="s">
        <v>92</v>
      </c>
      <c r="H177" s="45" t="s">
        <v>93</v>
      </c>
      <c r="I177" s="46" t="s">
        <v>94</v>
      </c>
      <c r="J177" s="29" t="s">
        <v>48</v>
      </c>
      <c r="L177" s="47" t="s">
        <v>95</v>
      </c>
      <c r="M177" s="11" t="n">
        <v>2007</v>
      </c>
      <c r="N177" s="11" t="n">
        <v>2008</v>
      </c>
      <c r="O177" s="11" t="n">
        <v>2009</v>
      </c>
      <c r="P177" s="11" t="n">
        <v>2010</v>
      </c>
      <c r="Q177" s="36" t="s">
        <v>98</v>
      </c>
    </row>
    <row r="178" customFormat="false" ht="16.4" hidden="false" customHeight="false" outlineLevel="0" collapsed="false">
      <c r="A178" s="10" t="s">
        <v>17</v>
      </c>
      <c r="B178" s="10" t="n">
        <v>1244508.9</v>
      </c>
      <c r="C178" s="52" t="n">
        <f aca="false">(0.5*B178)+B179+B180+B181+(0.5*B182)/4</f>
        <v>4613059.5</v>
      </c>
      <c r="D178" s="10" t="n">
        <f aca="false">B178-C178</f>
        <v>-3368550.6</v>
      </c>
      <c r="E178" s="10" t="n">
        <v>-2389124.31875</v>
      </c>
      <c r="F178" s="10" t="n">
        <f aca="false">B178-E178</f>
        <v>3633633.21875</v>
      </c>
      <c r="G178" s="10" t="n">
        <f aca="false">AVERAGE(F178:F179)</f>
        <v>3672424.678125</v>
      </c>
      <c r="H178" s="10" t="n">
        <f aca="false">E178+G178</f>
        <v>1283300.359375</v>
      </c>
      <c r="I178" s="12" t="n">
        <f aca="false">B178-H178</f>
        <v>-38791.4593750001</v>
      </c>
      <c r="J178" s="11" t="n">
        <f aca="false">STANDARDIZE(I178,$I$196,$I$200)</f>
        <v>-0.647518764103241</v>
      </c>
      <c r="L178" s="11" t="s">
        <v>52</v>
      </c>
      <c r="M178" s="11" t="n">
        <v>-3368550.6</v>
      </c>
      <c r="N178" s="11" t="n">
        <v>-3597636.425</v>
      </c>
      <c r="O178" s="11" t="n">
        <v>-4262962.65</v>
      </c>
      <c r="P178" s="11" t="n">
        <v>1672652.4</v>
      </c>
      <c r="Q178" s="11" t="n">
        <f aca="false">AVERAGE(M178:P178)</f>
        <v>-2389124.31875</v>
      </c>
    </row>
    <row r="179" customFormat="false" ht="14.25" hidden="false" customHeight="true" outlineLevel="0" collapsed="false">
      <c r="A179" s="10" t="s">
        <v>18</v>
      </c>
      <c r="B179" s="10" t="n">
        <v>1277565</v>
      </c>
      <c r="C179" s="53" t="n">
        <f aca="false">(0.5*B179)+B180+B181+B182+(0.5*B183)/4</f>
        <v>4665598.0375</v>
      </c>
      <c r="D179" s="10" t="n">
        <f aca="false">B179-C179</f>
        <v>-3388033.0375</v>
      </c>
      <c r="E179" s="10" t="n">
        <v>-2433651.1375</v>
      </c>
      <c r="F179" s="10" t="n">
        <f aca="false">B179-E179</f>
        <v>3711216.1375</v>
      </c>
      <c r="G179" s="10" t="n">
        <f aca="false">AVERAGE(F178:F180)</f>
        <v>3718688.190625</v>
      </c>
      <c r="H179" s="10" t="n">
        <f aca="false">E179+G179</f>
        <v>1285037.053125</v>
      </c>
      <c r="I179" s="12" t="n">
        <f aca="false">B179-H179</f>
        <v>-7472.05312500009</v>
      </c>
      <c r="J179" s="11" t="n">
        <f aca="false">STANDARDIZE(I179,$I$196,$I$200)</f>
        <v>-0.127627681919537</v>
      </c>
      <c r="L179" s="11" t="s">
        <v>58</v>
      </c>
      <c r="M179" s="11" t="n">
        <v>-3388033.0375</v>
      </c>
      <c r="N179" s="11" t="n">
        <v>-3740761.9875</v>
      </c>
      <c r="O179" s="11" t="n">
        <v>-4336735.725</v>
      </c>
      <c r="P179" s="11" t="n">
        <v>1730926.2</v>
      </c>
      <c r="Q179" s="11" t="n">
        <f aca="false">AVERAGE(M179:P179)</f>
        <v>-2433651.1375</v>
      </c>
      <c r="ER179" s="11"/>
      <c r="ES179" s="36"/>
    </row>
    <row r="180" customFormat="false" ht="16.4" hidden="false" customHeight="false" outlineLevel="0" collapsed="false">
      <c r="A180" s="10" t="s">
        <v>19</v>
      </c>
      <c r="B180" s="10" t="n">
        <v>1280494.8</v>
      </c>
      <c r="C180" s="53" t="n">
        <f aca="false">(0.5*B180)+B181+B182+B183+(0.5*B184)/4</f>
        <v>4719744.3625</v>
      </c>
      <c r="D180" s="10" t="n">
        <f aca="false">B180-C180</f>
        <v>-3439249.5625</v>
      </c>
      <c r="E180" s="10" t="n">
        <v>-2530720.415625</v>
      </c>
      <c r="F180" s="10" t="n">
        <f aca="false">B180-E180</f>
        <v>3811215.215625</v>
      </c>
      <c r="G180" s="10" t="n">
        <f aca="false">AVERAGE(F179:F181)</f>
        <v>3802756.296875</v>
      </c>
      <c r="H180" s="10" t="n">
        <f aca="false">E180+G180</f>
        <v>1272035.88125</v>
      </c>
      <c r="I180" s="12" t="n">
        <f aca="false">B180-H180</f>
        <v>8458.91874999995</v>
      </c>
      <c r="J180" s="11" t="n">
        <f aca="false">STANDARDIZE(I180,$I$196,$I$200)</f>
        <v>0.136820824614074</v>
      </c>
      <c r="L180" s="11" t="s">
        <v>64</v>
      </c>
      <c r="M180" s="11" t="n">
        <v>-3439249.5625</v>
      </c>
      <c r="N180" s="11" t="n">
        <v>-3949879.0875</v>
      </c>
      <c r="O180" s="11" t="n">
        <v>-4443814.3125</v>
      </c>
      <c r="P180" s="11" t="n">
        <v>1710061.3</v>
      </c>
      <c r="Q180" s="11" t="n">
        <f aca="false">AVERAGE(M180:P180)</f>
        <v>-2530720.415625</v>
      </c>
      <c r="ER180" s="11"/>
      <c r="ES180" s="11"/>
    </row>
    <row r="181" customFormat="false" ht="16.4" hidden="false" customHeight="false" outlineLevel="0" collapsed="false">
      <c r="A181" s="10" t="s">
        <v>20</v>
      </c>
      <c r="B181" s="10" t="n">
        <v>1268858.7</v>
      </c>
      <c r="C181" s="52" t="n">
        <f aca="false">(0.5*B181)+B182+B183+B184+(0.5*B185)/4</f>
        <v>4798864.15</v>
      </c>
      <c r="D181" s="10" t="n">
        <f aca="false">B181-C181</f>
        <v>-3530005.45</v>
      </c>
      <c r="E181" s="10" t="n">
        <v>-2616978.8375</v>
      </c>
      <c r="F181" s="10" t="n">
        <f aca="false">B181-E181</f>
        <v>3885837.5375</v>
      </c>
      <c r="G181" s="10" t="n">
        <f aca="false">AVERAGE(F180:F182)</f>
        <v>3799089.82395833</v>
      </c>
      <c r="H181" s="10" t="n">
        <f aca="false">E181+G181</f>
        <v>1182110.98645833</v>
      </c>
      <c r="I181" s="12" t="n">
        <f aca="false">B181-H181</f>
        <v>86747.7135416667</v>
      </c>
      <c r="J181" s="11" t="n">
        <f aca="false">STANDARDIZE(I181,$I$196,$I$200)</f>
        <v>1.43638716767326</v>
      </c>
      <c r="L181" s="11" t="s">
        <v>70</v>
      </c>
      <c r="M181" s="11" t="n">
        <v>-3530005.45</v>
      </c>
      <c r="N181" s="11" t="n">
        <v>-4144761.775</v>
      </c>
      <c r="O181" s="11" t="n">
        <v>-4515320.325</v>
      </c>
      <c r="P181" s="11" t="n">
        <v>1722172.2</v>
      </c>
      <c r="Q181" s="11" t="n">
        <f aca="false">AVERAGE(M181:P181)</f>
        <v>-2616978.8375</v>
      </c>
      <c r="ER181" s="11"/>
      <c r="ES181" s="11"/>
    </row>
    <row r="182" customFormat="false" ht="16.4" hidden="false" customHeight="false" outlineLevel="0" collapsed="false">
      <c r="A182" s="10" t="s">
        <v>21</v>
      </c>
      <c r="B182" s="10" t="n">
        <v>1311092.4</v>
      </c>
      <c r="C182" s="53" t="n">
        <f aca="false">(0.5*B182)+B183+B184+B185+(0.5*B186)/4</f>
        <v>4908728.825</v>
      </c>
      <c r="D182" s="10" t="n">
        <f aca="false">B182-C182</f>
        <v>-3597636.425</v>
      </c>
      <c r="E182" s="10" t="n">
        <v>-2389124.31875</v>
      </c>
      <c r="F182" s="10" t="n">
        <f aca="false">B182-E182</f>
        <v>3700216.71875</v>
      </c>
      <c r="G182" s="10" t="n">
        <f aca="false">AVERAGE(F181:F183)</f>
        <v>3783554.16458333</v>
      </c>
      <c r="H182" s="10" t="n">
        <f aca="false">E182+G182</f>
        <v>1394429.84583333</v>
      </c>
      <c r="I182" s="12" t="n">
        <f aca="false">B182-H182</f>
        <v>-83337.4458333333</v>
      </c>
      <c r="J182" s="11" t="n">
        <f aca="false">STANDARDIZE(I182,$I$196,$I$200)</f>
        <v>-1.38696640630634</v>
      </c>
      <c r="ER182" s="11"/>
      <c r="ES182" s="11"/>
    </row>
    <row r="183" customFormat="false" ht="16.4" hidden="false" customHeight="false" outlineLevel="0" collapsed="false">
      <c r="A183" s="10" t="s">
        <v>22</v>
      </c>
      <c r="B183" s="10" t="n">
        <v>1330957.1</v>
      </c>
      <c r="C183" s="53" t="n">
        <f aca="false">(0.5*B183)+B184+B185+B186+(0.5*B187)/4</f>
        <v>5071719.0875</v>
      </c>
      <c r="D183" s="10" t="n">
        <f aca="false">B183-C183</f>
        <v>-3740761.9875</v>
      </c>
      <c r="E183" s="10" t="n">
        <v>-2433651.1375</v>
      </c>
      <c r="F183" s="10" t="n">
        <f aca="false">B183-E183</f>
        <v>3764608.2375</v>
      </c>
      <c r="G183" s="10" t="n">
        <f aca="false">AVERAGE(F182:F184)</f>
        <v>3781418.490625</v>
      </c>
      <c r="H183" s="10" t="n">
        <f aca="false">E183+G183</f>
        <v>1347767.353125</v>
      </c>
      <c r="I183" s="12" t="n">
        <f aca="false">B183-H183</f>
        <v>-16810.2531249998</v>
      </c>
      <c r="J183" s="11" t="n">
        <f aca="false">STANDARDIZE(I183,$I$196,$I$200)</f>
        <v>-0.282638503800865</v>
      </c>
      <c r="ER183" s="11"/>
      <c r="ES183" s="11"/>
    </row>
    <row r="184" customFormat="false" ht="16.4" hidden="false" customHeight="false" outlineLevel="0" collapsed="false">
      <c r="A184" s="10" t="s">
        <v>23</v>
      </c>
      <c r="B184" s="10" t="n">
        <v>1348710.1</v>
      </c>
      <c r="C184" s="53" t="n">
        <f aca="false">(0.5*B184)+B185+B186+B187+(0.5*B188)/4</f>
        <v>5298589.1875</v>
      </c>
      <c r="D184" s="10" t="n">
        <f aca="false">B184-C184</f>
        <v>-3949879.0875</v>
      </c>
      <c r="E184" s="10" t="n">
        <v>-2530720.415625</v>
      </c>
      <c r="F184" s="10" t="n">
        <f aca="false">B184-E184</f>
        <v>3879430.515625</v>
      </c>
      <c r="G184" s="10" t="n">
        <f aca="false">AVERAGE(F183:F185)</f>
        <v>3883473.06354167</v>
      </c>
      <c r="H184" s="10" t="n">
        <f aca="false">E184+G184</f>
        <v>1352752.64791667</v>
      </c>
      <c r="I184" s="12" t="n">
        <f aca="false">B184-H184</f>
        <v>-4042.54791666707</v>
      </c>
      <c r="J184" s="11" t="n">
        <f aca="false">STANDARDIZE(I184,$I$196,$I$200)</f>
        <v>-0.0706991067133926</v>
      </c>
    </row>
    <row r="185" customFormat="false" ht="16.4" hidden="false" customHeight="false" outlineLevel="0" collapsed="false">
      <c r="A185" s="10" t="s">
        <v>24</v>
      </c>
      <c r="B185" s="10" t="n">
        <v>1389401.6</v>
      </c>
      <c r="C185" s="53" t="n">
        <f aca="false">(0.5*B185)+B186+B187+B188+(0.5*B189)/4</f>
        <v>5534163.375</v>
      </c>
      <c r="D185" s="10" t="n">
        <f aca="false">B185-C185</f>
        <v>-4144761.775</v>
      </c>
      <c r="E185" s="10" t="n">
        <v>-2616978.8375</v>
      </c>
      <c r="F185" s="10" t="n">
        <f aca="false">B185-E185</f>
        <v>4006380.4375</v>
      </c>
      <c r="G185" s="10" t="n">
        <f aca="false">AVERAGE(F184:F186)</f>
        <v>3915948.62395833</v>
      </c>
      <c r="H185" s="10" t="n">
        <f aca="false">E185+G185</f>
        <v>1298969.78645833</v>
      </c>
      <c r="I185" s="12" t="n">
        <f aca="false">B185-H185</f>
        <v>90431.8135416666</v>
      </c>
      <c r="J185" s="11" t="n">
        <f aca="false">STANDARDIZE(I185,$I$196,$I$200)</f>
        <v>1.49754192650184</v>
      </c>
      <c r="L185" s="33" t="s">
        <v>75</v>
      </c>
      <c r="M185" s="9" t="n">
        <f aca="false">_xlfn.STDEV.P(E20:E35)</f>
        <v>178667.21673138</v>
      </c>
    </row>
    <row r="186" customFormat="false" ht="16.4" hidden="false" customHeight="false" outlineLevel="0" collapsed="false">
      <c r="A186" s="10" t="s">
        <v>25</v>
      </c>
      <c r="B186" s="10" t="n">
        <v>1472910.6</v>
      </c>
      <c r="C186" s="52" t="n">
        <f aca="false">(0.5*B186)+B187+B188+B189+(0.5*B190)/4</f>
        <v>5735873.25</v>
      </c>
      <c r="D186" s="10" t="n">
        <f aca="false">B186-C186</f>
        <v>-4262962.65</v>
      </c>
      <c r="E186" s="10" t="n">
        <v>-2389124.31875</v>
      </c>
      <c r="F186" s="10" t="n">
        <f aca="false">B186-E186</f>
        <v>3862034.91875</v>
      </c>
      <c r="G186" s="10" t="n">
        <f aca="false">AVERAGE(F185:F187)</f>
        <v>3954604.13125</v>
      </c>
      <c r="H186" s="10" t="n">
        <f aca="false">E186+G186</f>
        <v>1565479.8125</v>
      </c>
      <c r="I186" s="12" t="n">
        <f aca="false">B186-H186</f>
        <v>-92569.2124999999</v>
      </c>
      <c r="J186" s="11" t="n">
        <f aca="false">STANDARDIZE(I186,$I$196,$I$200)</f>
        <v>-1.54021047244507</v>
      </c>
      <c r="L186" s="23"/>
    </row>
    <row r="187" customFormat="false" ht="16.4" hidden="false" customHeight="false" outlineLevel="0" collapsed="false">
      <c r="A187" s="10" t="s">
        <v>26</v>
      </c>
      <c r="B187" s="10" t="n">
        <v>1561745.9</v>
      </c>
      <c r="C187" s="53" t="n">
        <f aca="false">(0.5*B187)+B188+B189+B190+(0.5*B191)/4</f>
        <v>5898481.625</v>
      </c>
      <c r="D187" s="10" t="n">
        <f aca="false">B187-C187</f>
        <v>-4336735.725</v>
      </c>
      <c r="E187" s="10" t="n">
        <v>-2433651.1375</v>
      </c>
      <c r="F187" s="10" t="n">
        <f aca="false">B187-E187</f>
        <v>3995397.0375</v>
      </c>
      <c r="G187" s="10" t="n">
        <f aca="false">AVERAGE(F186:F188)</f>
        <v>3996520.22395833</v>
      </c>
      <c r="H187" s="10" t="n">
        <f aca="false">E187+G187</f>
        <v>1562869.08645833</v>
      </c>
      <c r="I187" s="12" t="n">
        <f aca="false">B187-H187</f>
        <v>-1123.1864583334</v>
      </c>
      <c r="J187" s="11" t="n">
        <f aca="false">STANDARDIZE(I187,$I$196,$I$200)</f>
        <v>-0.0222387375817622</v>
      </c>
      <c r="L187" s="23"/>
    </row>
    <row r="188" customFormat="false" ht="16.4" hidden="false" customHeight="false" outlineLevel="0" collapsed="false">
      <c r="A188" s="10" t="s">
        <v>27</v>
      </c>
      <c r="B188" s="10" t="n">
        <v>1601408.3</v>
      </c>
      <c r="C188" s="53" t="n">
        <f aca="false">(0.5*B188)+B189+B190+B191+(0.5*B192)/4</f>
        <v>6045222.6125</v>
      </c>
      <c r="D188" s="10" t="n">
        <f aca="false">B188-C188</f>
        <v>-4443814.3125</v>
      </c>
      <c r="E188" s="10" t="n">
        <v>-2530720.415625</v>
      </c>
      <c r="F188" s="10" t="n">
        <f aca="false">B188-E188</f>
        <v>4132128.715625</v>
      </c>
      <c r="G188" s="10" t="n">
        <f aca="false">AVERAGE(F187:F189)</f>
        <v>4123895.596875</v>
      </c>
      <c r="H188" s="10" t="n">
        <f aca="false">E188+G188</f>
        <v>1593175.18125</v>
      </c>
      <c r="I188" s="12" t="n">
        <f aca="false">B188-H188</f>
        <v>8233.11874999967</v>
      </c>
      <c r="J188" s="11" t="n">
        <f aca="false">STANDARDIZE(I188,$I$196,$I$200)</f>
        <v>0.133072624363399</v>
      </c>
      <c r="L188" s="33" t="s">
        <v>76</v>
      </c>
      <c r="M188" s="34" t="n">
        <f aca="false">(E35/E20)^(1/15)-1</f>
        <v>0.0218925614261565</v>
      </c>
    </row>
    <row r="189" customFormat="false" ht="16.4" hidden="false" customHeight="false" outlineLevel="0" collapsed="false">
      <c r="A189" s="10" t="s">
        <v>28</v>
      </c>
      <c r="B189" s="10" t="n">
        <v>1627182.2</v>
      </c>
      <c r="C189" s="53" t="n">
        <f aca="false">(0.5*B189)+B190+B191+B192+(0.5*B193)/4</f>
        <v>6142502.525</v>
      </c>
      <c r="D189" s="10" t="n">
        <f aca="false">B189-C189</f>
        <v>-4515320.325</v>
      </c>
      <c r="E189" s="10" t="n">
        <v>-2616978.8375</v>
      </c>
      <c r="F189" s="10" t="n">
        <f aca="false">B189-E189</f>
        <v>4244161.0375</v>
      </c>
      <c r="G189" s="10" t="n">
        <f aca="false">AVERAGE(F188:F190)</f>
        <v>4146022.15729167</v>
      </c>
      <c r="H189" s="10" t="n">
        <f aca="false">E189+G189</f>
        <v>1529043.31979167</v>
      </c>
      <c r="I189" s="12" t="n">
        <f aca="false">B189-H189</f>
        <v>98138.8802083333</v>
      </c>
      <c r="J189" s="11" t="n">
        <f aca="false">STANDARDIZE(I189,$I$196,$I$200)</f>
        <v>1.6254765111428</v>
      </c>
    </row>
    <row r="190" customFormat="false" ht="16.4" hidden="false" customHeight="false" outlineLevel="0" collapsed="false">
      <c r="A190" s="10" t="s">
        <v>29</v>
      </c>
      <c r="B190" s="10" t="n">
        <v>1672652.4</v>
      </c>
      <c r="C190" s="52"/>
      <c r="D190" s="10" t="n">
        <f aca="false">B190-C190</f>
        <v>1672652.4</v>
      </c>
      <c r="E190" s="10" t="n">
        <v>-2389124.31875</v>
      </c>
      <c r="F190" s="10" t="n">
        <f aca="false">B190-E190</f>
        <v>4061776.71875</v>
      </c>
      <c r="G190" s="10" t="n">
        <f aca="false">AVERAGE(F189:F191)</f>
        <v>4156838.36458333</v>
      </c>
      <c r="H190" s="10" t="n">
        <f aca="false">E190+G190</f>
        <v>1767714.04583333</v>
      </c>
      <c r="I190" s="12" t="n">
        <f aca="false">B190-H190</f>
        <v>-95061.6458333335</v>
      </c>
      <c r="J190" s="11" t="n">
        <f aca="false">STANDARDIZE(I190,$I$196,$I$200)</f>
        <v>-1.58158398548661</v>
      </c>
      <c r="L190" s="35" t="s">
        <v>77</v>
      </c>
      <c r="M190" s="35" t="s">
        <v>78</v>
      </c>
      <c r="N190" s="35" t="s">
        <v>79</v>
      </c>
    </row>
    <row r="191" customFormat="false" ht="15" hidden="false" customHeight="false" outlineLevel="0" collapsed="false">
      <c r="A191" s="10" t="s">
        <v>30</v>
      </c>
      <c r="B191" s="10" t="n">
        <v>1730926.2</v>
      </c>
      <c r="C191" s="52"/>
      <c r="D191" s="10" t="n">
        <f aca="false">B191-C191</f>
        <v>1730926.2</v>
      </c>
      <c r="E191" s="10" t="n">
        <v>-2433651.1375</v>
      </c>
      <c r="F191" s="10" t="n">
        <f aca="false">B191-E191</f>
        <v>4164577.3375</v>
      </c>
      <c r="G191" s="10" t="n">
        <f aca="false">AVERAGE(F190:F192)</f>
        <v>4155711.92395833</v>
      </c>
      <c r="H191" s="10" t="n">
        <f aca="false">E191+G191</f>
        <v>1722060.78645833</v>
      </c>
      <c r="I191" s="12" t="n">
        <f aca="false">B191-H191</f>
        <v>8865.41354166647</v>
      </c>
      <c r="J191" s="11" t="n">
        <f aca="false">STANDARDIZE(I191,$I$196,$I$200)</f>
        <v>0.143568494587592</v>
      </c>
      <c r="L191" s="54" t="s">
        <v>80</v>
      </c>
      <c r="M191" s="55" t="n">
        <v>-1.5</v>
      </c>
      <c r="N191" s="55" t="n">
        <f aca="false">COUNTIF(J178:J193,"&lt;"&amp;M191)</f>
        <v>2</v>
      </c>
    </row>
    <row r="192" customFormat="false" ht="15" hidden="false" customHeight="false" outlineLevel="0" collapsed="false">
      <c r="A192" s="10" t="s">
        <v>31</v>
      </c>
      <c r="B192" s="10" t="n">
        <v>1710061.3</v>
      </c>
      <c r="C192" s="52"/>
      <c r="D192" s="10" t="n">
        <f aca="false">B192-C192</f>
        <v>1710061.3</v>
      </c>
      <c r="E192" s="10" t="n">
        <v>-2530720.415625</v>
      </c>
      <c r="F192" s="10" t="n">
        <f aca="false">B192-E192</f>
        <v>4240781.715625</v>
      </c>
      <c r="G192" s="10" t="n">
        <f aca="false">AVERAGE(F191:F193)</f>
        <v>4248170.03020833</v>
      </c>
      <c r="H192" s="10" t="n">
        <f aca="false">E192+G192</f>
        <v>1717449.61458333</v>
      </c>
      <c r="I192" s="12" t="n">
        <f aca="false">B192-H192</f>
        <v>-7388.31458333344</v>
      </c>
      <c r="J192" s="11" t="n">
        <f aca="false">STANDARDIZE(I192,$I$196,$I$200)</f>
        <v>-0.126237651703125</v>
      </c>
      <c r="L192" s="11" t="n">
        <f aca="false">M191</f>
        <v>-1.5</v>
      </c>
      <c r="M192" s="11" t="n">
        <f aca="false">M191+0.5</f>
        <v>-1</v>
      </c>
      <c r="N192" s="11" t="n">
        <f aca="false">COUNTIF($J$178:$J$193,"&gt;="&amp;M192)-COUNTIF($J$178:$J$193,"&gt;"&amp;M193)</f>
        <v>1</v>
      </c>
    </row>
    <row r="193" customFormat="false" ht="15" hidden="false" customHeight="false" outlineLevel="0" collapsed="false">
      <c r="A193" s="10" t="s">
        <v>32</v>
      </c>
      <c r="B193" s="10" t="n">
        <v>1722172.2</v>
      </c>
      <c r="C193" s="52"/>
      <c r="D193" s="10" t="n">
        <f aca="false">B193-C193</f>
        <v>1722172.2</v>
      </c>
      <c r="E193" s="10" t="n">
        <v>-2616978.8375</v>
      </c>
      <c r="F193" s="10" t="n">
        <f aca="false">B193-E193</f>
        <v>4339151.0375</v>
      </c>
      <c r="G193" s="10" t="n">
        <f aca="false">AVERAGE(F192:F193)</f>
        <v>4289966.3765625</v>
      </c>
      <c r="H193" s="10" t="n">
        <f aca="false">E193+G193</f>
        <v>1672987.5390625</v>
      </c>
      <c r="I193" s="12" t="n">
        <f aca="false">B193-H193</f>
        <v>49184.6609375</v>
      </c>
      <c r="J193" s="11" t="n">
        <f aca="false">STANDARDIZE(I193,$I$196,$I$200)</f>
        <v>0.812853761176973</v>
      </c>
      <c r="L193" s="11" t="n">
        <f aca="false">M192</f>
        <v>-1</v>
      </c>
      <c r="M193" s="11" t="n">
        <f aca="false">M192+0.5</f>
        <v>-0.5</v>
      </c>
      <c r="N193" s="11" t="n">
        <f aca="false">COUNTIF($J$178:$J$193,"&gt;="&amp;M193)-COUNTIF($J$178:$J$193,"&gt;"&amp;M194)</f>
        <v>5</v>
      </c>
    </row>
    <row r="194" customFormat="false" ht="15" hidden="false" customHeight="false" outlineLevel="0" collapsed="false">
      <c r="D194" s="56"/>
      <c r="E194" s="23"/>
      <c r="F194" s="23"/>
      <c r="G194" s="23"/>
      <c r="H194" s="9"/>
      <c r="K194" s="23"/>
      <c r="L194" s="11" t="n">
        <f aca="false">M193</f>
        <v>-0.5</v>
      </c>
      <c r="M194" s="11" t="n">
        <f aca="false">M193+0.5</f>
        <v>0</v>
      </c>
      <c r="N194" s="11" t="n">
        <f aca="false">COUNTIF($J$178:$J$193,"&gt;="&amp;M194)-COUNTIF($J$178:$J$193,"&gt;"&amp;M195)</f>
        <v>3</v>
      </c>
    </row>
    <row r="195" customFormat="false" ht="16.4" hidden="false" customHeight="false" outlineLevel="0" collapsed="false">
      <c r="D195" s="56"/>
      <c r="E195" s="23"/>
      <c r="F195" s="23"/>
      <c r="G195" s="23"/>
      <c r="H195" s="23"/>
      <c r="I195" s="25" t="s">
        <v>47</v>
      </c>
      <c r="J195" s="37" t="s">
        <v>48</v>
      </c>
      <c r="K195" s="23"/>
      <c r="L195" s="11" t="n">
        <f aca="false">M194</f>
        <v>0</v>
      </c>
      <c r="M195" s="11" t="n">
        <f aca="false">M194+0.5</f>
        <v>0.5</v>
      </c>
      <c r="N195" s="11" t="n">
        <f aca="false">COUNTIF($J$178:$J$193,"&gt;="&amp;M195)-COUNTIF($J$178:$J$193,"&gt;"&amp;M196)</f>
        <v>1</v>
      </c>
    </row>
    <row r="196" customFormat="false" ht="15" hidden="false" customHeight="false" outlineLevel="0" collapsed="false">
      <c r="D196" s="56"/>
      <c r="E196" s="23"/>
      <c r="F196" s="23"/>
      <c r="G196" s="23"/>
      <c r="H196" s="38" t="s">
        <v>81</v>
      </c>
      <c r="I196" s="57" t="n">
        <f aca="false">AVERAGE(I178:I193)</f>
        <v>216.525032552003</v>
      </c>
      <c r="J196" s="24" t="n">
        <f aca="false">AVERAGE(J178:J193)</f>
        <v>0</v>
      </c>
      <c r="K196" s="23"/>
      <c r="L196" s="11" t="n">
        <f aca="false">M195</f>
        <v>0.5</v>
      </c>
      <c r="M196" s="11" t="n">
        <f aca="false">M195+0.5</f>
        <v>1</v>
      </c>
      <c r="N196" s="11" t="n">
        <f aca="false">COUNTIF($J$178:$J$193,"&gt;="&amp;M196)-COUNTIF($J$178:$J$193,"&gt;"&amp;M197)</f>
        <v>2</v>
      </c>
    </row>
    <row r="197" customFormat="false" ht="15" hidden="false" customHeight="false" outlineLevel="0" collapsed="false">
      <c r="D197" s="56"/>
      <c r="E197" s="23"/>
      <c r="F197" s="23"/>
      <c r="G197" s="23"/>
      <c r="H197" s="39" t="s">
        <v>82</v>
      </c>
      <c r="I197" s="41" t="n">
        <f aca="false">VAR(I178:I193)</f>
        <v>3629128153.03953</v>
      </c>
      <c r="J197" s="41" t="n">
        <f aca="false">VAR(J178:J193)</f>
        <v>1</v>
      </c>
      <c r="K197" s="23"/>
      <c r="L197" s="58" t="n">
        <f aca="false">M196</f>
        <v>1</v>
      </c>
      <c r="M197" s="58" t="n">
        <f aca="false">M196+0.5</f>
        <v>1.5</v>
      </c>
      <c r="N197" s="58" t="n">
        <f aca="false">COUNTIF($J$178:$J$193,"&gt;="&amp;M197)-COUNTIF($J$178:$J$193,"&gt;"&amp;M198)</f>
        <v>1</v>
      </c>
    </row>
    <row r="198" customFormat="false" ht="15" hidden="false" customHeight="false" outlineLevel="0" collapsed="false">
      <c r="D198" s="56"/>
      <c r="E198" s="23"/>
      <c r="F198" s="23"/>
      <c r="G198" s="23"/>
      <c r="H198" s="35" t="s">
        <v>83</v>
      </c>
      <c r="I198" s="59"/>
      <c r="J198" s="24" t="n">
        <f aca="false">MIN(J178:J193)</f>
        <v>-1.58158398548661</v>
      </c>
      <c r="K198" s="23"/>
      <c r="L198" s="11" t="n">
        <f aca="false">M197</f>
        <v>1.5</v>
      </c>
      <c r="M198" s="36" t="s">
        <v>84</v>
      </c>
      <c r="N198" s="11" t="n">
        <f aca="false">COUNTIF($J$178:$J$193,"&gt;="&amp;M198)-COUNTIF($J$178:$J$193,"&gt;"&amp;M199)</f>
        <v>0</v>
      </c>
    </row>
    <row r="199" customFormat="false" ht="15" hidden="false" customHeight="false" outlineLevel="0" collapsed="false">
      <c r="D199" s="56"/>
      <c r="E199" s="23"/>
      <c r="F199" s="23"/>
      <c r="G199" s="23"/>
      <c r="H199" s="35" t="s">
        <v>85</v>
      </c>
      <c r="I199" s="59"/>
      <c r="J199" s="24" t="n">
        <f aca="false">MAX(J178:J193)</f>
        <v>1.6254765111428</v>
      </c>
      <c r="K199" s="23"/>
      <c r="L199" s="60"/>
      <c r="M199" s="60"/>
      <c r="N199" s="60"/>
    </row>
    <row r="200" customFormat="false" ht="15" hidden="false" customHeight="false" outlineLevel="0" collapsed="false">
      <c r="C200" s="23"/>
      <c r="H200" s="35" t="s">
        <v>86</v>
      </c>
      <c r="I200" s="11" t="n">
        <f aca="false">SQRT(I197)</f>
        <v>60242.2455843034</v>
      </c>
      <c r="J200" s="11"/>
      <c r="K200" s="23"/>
    </row>
    <row r="201" customFormat="false" ht="15" hidden="false" customHeight="true" outlineLevel="0" collapsed="false">
      <c r="C201" s="23"/>
      <c r="H201" s="43"/>
      <c r="K201" s="23"/>
    </row>
    <row r="202" customFormat="false" ht="15" hidden="false" customHeight="false" outlineLevel="0" collapsed="false">
      <c r="C202" s="23"/>
      <c r="H202" s="43"/>
      <c r="K202" s="23"/>
    </row>
    <row r="203" customFormat="false" ht="15" hidden="false" customHeight="false" outlineLevel="0" collapsed="false">
      <c r="C203" s="23"/>
      <c r="H203" s="43"/>
      <c r="K203" s="23"/>
    </row>
    <row r="204" customFormat="false" ht="15" hidden="false" customHeight="false" outlineLevel="0" collapsed="false">
      <c r="A204" s="23"/>
      <c r="B204" s="43" t="s">
        <v>15</v>
      </c>
      <c r="C204" s="43"/>
    </row>
    <row r="205" customFormat="false" ht="16.4" hidden="false" customHeight="false" outlineLevel="0" collapsed="false">
      <c r="A205" s="44" t="s">
        <v>39</v>
      </c>
      <c r="B205" s="45" t="s">
        <v>87</v>
      </c>
      <c r="C205" s="45" t="s">
        <v>88</v>
      </c>
      <c r="D205" s="45" t="s">
        <v>89</v>
      </c>
      <c r="E205" s="45" t="s">
        <v>90</v>
      </c>
      <c r="F205" s="45" t="s">
        <v>91</v>
      </c>
      <c r="G205" s="45" t="s">
        <v>92</v>
      </c>
      <c r="H205" s="45" t="s">
        <v>93</v>
      </c>
      <c r="I205" s="46" t="s">
        <v>94</v>
      </c>
      <c r="J205" s="29" t="s">
        <v>48</v>
      </c>
      <c r="L205" s="47" t="s">
        <v>95</v>
      </c>
      <c r="M205" s="11" t="n">
        <v>2007</v>
      </c>
      <c r="N205" s="11" t="n">
        <v>2008</v>
      </c>
      <c r="O205" s="11" t="n">
        <v>2009</v>
      </c>
      <c r="P205" s="11" t="n">
        <v>2010</v>
      </c>
      <c r="Q205" s="36" t="s">
        <v>96</v>
      </c>
    </row>
    <row r="206" customFormat="false" ht="15" hidden="false" customHeight="false" outlineLevel="0" collapsed="false">
      <c r="A206" s="10" t="s">
        <v>17</v>
      </c>
      <c r="B206" s="10" t="n">
        <v>1686726.2</v>
      </c>
      <c r="C206" s="11" t="n">
        <f aca="false">(0.5*B206)+B207+B208+B209+(0.5*B210)/4</f>
        <v>6138913.075</v>
      </c>
      <c r="D206" s="10" t="n">
        <f aca="false">B206-C206</f>
        <v>-4452186.875</v>
      </c>
      <c r="E206" s="11" t="n">
        <v>-2998559.16875</v>
      </c>
      <c r="F206" s="10" t="n">
        <f aca="false">B206-E206</f>
        <v>4685285.36875</v>
      </c>
      <c r="G206" s="11" t="n">
        <f aca="false">AVERAGE(E206:E207)</f>
        <v>-3014174.621875</v>
      </c>
      <c r="H206" s="11" t="n">
        <f aca="false">E206+G206</f>
        <v>-6012733.790625</v>
      </c>
      <c r="I206" s="12" t="n">
        <f aca="false">B206-H206</f>
        <v>7699459.990625</v>
      </c>
      <c r="J206" s="11" t="n">
        <f aca="false">STANDARDIZE(I206,$I$224,$I$228)</f>
        <v>3.74955980810438</v>
      </c>
      <c r="K206" s="9"/>
      <c r="L206" s="11" t="s">
        <v>52</v>
      </c>
      <c r="M206" s="11" t="n">
        <v>-4452186.875</v>
      </c>
      <c r="N206" s="11" t="n">
        <v>-4558153.2625</v>
      </c>
      <c r="O206" s="11" t="n">
        <v>-4860308.4375</v>
      </c>
      <c r="P206" s="11" t="n">
        <v>1876411.9</v>
      </c>
      <c r="Q206" s="11" t="n">
        <f aca="false">AVERAGE(M206:P206)</f>
        <v>-2998559.16875</v>
      </c>
    </row>
    <row r="207" customFormat="false" ht="15" hidden="false" customHeight="false" outlineLevel="0" collapsed="false">
      <c r="A207" s="10" t="s">
        <v>18</v>
      </c>
      <c r="B207" s="10" t="n">
        <v>1701397.6</v>
      </c>
      <c r="C207" s="11" t="n">
        <f aca="false">(0.5*B207)+B208+B209+B210+(0.5*B211)/4</f>
        <v>6171798.4375</v>
      </c>
      <c r="D207" s="10" t="n">
        <f aca="false">B207-C207</f>
        <v>-4470400.8375</v>
      </c>
      <c r="E207" s="11" t="n">
        <v>-3029790.075</v>
      </c>
      <c r="F207" s="10" t="n">
        <f aca="false">B207-E207</f>
        <v>4731187.675</v>
      </c>
      <c r="G207" s="10" t="n">
        <f aca="false">AVERAGE(F206:F208)</f>
        <v>4727263.10833333</v>
      </c>
      <c r="H207" s="11" t="n">
        <f aca="false">E207+G207</f>
        <v>1697473.03333333</v>
      </c>
      <c r="I207" s="12" t="n">
        <f aca="false">B207-H207</f>
        <v>3924.56666666688</v>
      </c>
      <c r="J207" s="11" t="n">
        <f aca="false">STANDARDIZE(I207,$I$224,$I$228)</f>
        <v>-0.248854027408691</v>
      </c>
      <c r="L207" s="11" t="s">
        <v>58</v>
      </c>
      <c r="M207" s="11" t="n">
        <v>-4470400.8375</v>
      </c>
      <c r="N207" s="11" t="n">
        <v>-4645381.35</v>
      </c>
      <c r="O207" s="11" t="n">
        <v>-4904148.6125</v>
      </c>
      <c r="P207" s="11" t="n">
        <v>1900770.5</v>
      </c>
      <c r="Q207" s="11" t="n">
        <f aca="false">AVERAGE(M207:P207)</f>
        <v>-3029790.075</v>
      </c>
      <c r="ER207" s="11"/>
      <c r="ES207" s="36"/>
    </row>
    <row r="208" customFormat="false" ht="15" hidden="false" customHeight="false" outlineLevel="0" collapsed="false">
      <c r="A208" s="10" t="s">
        <v>19</v>
      </c>
      <c r="B208" s="10" t="n">
        <v>1700613.2</v>
      </c>
      <c r="C208" s="11" t="n">
        <f aca="false">(0.5*B208)+B209+B210+B211+(0.5*B212)/4</f>
        <v>6200191.7375</v>
      </c>
      <c r="D208" s="10" t="n">
        <f aca="false">B208-C208</f>
        <v>-4499578.5375</v>
      </c>
      <c r="E208" s="11" t="n">
        <v>-3064703.08125</v>
      </c>
      <c r="F208" s="10" t="n">
        <f aca="false">B208-E208</f>
        <v>4765316.28125</v>
      </c>
      <c r="G208" s="10" t="n">
        <f aca="false">AVERAGE(F207:F209)</f>
        <v>4768983.78645833</v>
      </c>
      <c r="H208" s="11" t="n">
        <f aca="false">E208+G208</f>
        <v>1704280.70520833</v>
      </c>
      <c r="I208" s="12" t="n">
        <f aca="false">B208-H208</f>
        <v>-3667.50520833326</v>
      </c>
      <c r="J208" s="11" t="n">
        <f aca="false">STANDARDIZE(I208,$I$224,$I$228)</f>
        <v>-0.252798684089849</v>
      </c>
      <c r="L208" s="11" t="s">
        <v>64</v>
      </c>
      <c r="M208" s="11" t="n">
        <v>-4499578.5375</v>
      </c>
      <c r="N208" s="11" t="n">
        <v>-4756270.2</v>
      </c>
      <c r="O208" s="11" t="n">
        <v>-4924097.0875</v>
      </c>
      <c r="P208" s="11" t="n">
        <v>1921133.5</v>
      </c>
      <c r="Q208" s="11" t="n">
        <f aca="false">AVERAGE(M208:P208)</f>
        <v>-3064703.08125</v>
      </c>
      <c r="ER208" s="11"/>
      <c r="ES208" s="11"/>
    </row>
    <row r="209" customFormat="false" ht="15" hidden="false" customHeight="false" outlineLevel="0" collapsed="false">
      <c r="A209" s="10" t="s">
        <v>20</v>
      </c>
      <c r="B209" s="10" t="n">
        <v>1677724.7</v>
      </c>
      <c r="C209" s="11" t="n">
        <f aca="false">(0.5*B209)+B210+B211+B212+(0.5*B213)/4</f>
        <v>6238119.1375</v>
      </c>
      <c r="D209" s="10" t="n">
        <f aca="false">B209-C209</f>
        <v>-4560394.4375</v>
      </c>
      <c r="E209" s="11" t="n">
        <v>-3132722.703125</v>
      </c>
      <c r="F209" s="10" t="n">
        <f aca="false">B209-E209</f>
        <v>4810447.403125</v>
      </c>
      <c r="G209" s="10" t="n">
        <f aca="false">AVERAGE(F208:F210)</f>
        <v>4766946.21770833</v>
      </c>
      <c r="H209" s="11" t="n">
        <f aca="false">E209+G209</f>
        <v>1634223.51458333</v>
      </c>
      <c r="I209" s="12" t="n">
        <f aca="false">B209-H209</f>
        <v>43501.1854166666</v>
      </c>
      <c r="J209" s="11" t="n">
        <f aca="false">STANDARDIZE(I209,$I$224,$I$228)</f>
        <v>-0.22829097477428</v>
      </c>
      <c r="L209" s="11" t="s">
        <v>70</v>
      </c>
      <c r="M209" s="11" t="n">
        <v>-4560394.4375</v>
      </c>
      <c r="N209" s="11" t="n">
        <v>-4872886.35</v>
      </c>
      <c r="O209" s="11" t="n">
        <v>-5018710.225</v>
      </c>
      <c r="P209" s="11" t="n">
        <v>1921100.2</v>
      </c>
      <c r="Q209" s="11" t="n">
        <f aca="false">AVERAGE(M209:P209)</f>
        <v>-3132722.703125</v>
      </c>
      <c r="ER209" s="11"/>
      <c r="ES209" s="11"/>
    </row>
    <row r="210" customFormat="false" ht="15" hidden="false" customHeight="false" outlineLevel="0" collapsed="false">
      <c r="A210" s="10" t="s">
        <v>21</v>
      </c>
      <c r="B210" s="10" t="n">
        <v>1726515.8</v>
      </c>
      <c r="C210" s="11" t="n">
        <f aca="false">(0.5*B210)+B211+B212+B213+(0.5*B214)/4</f>
        <v>6284669.0625</v>
      </c>
      <c r="D210" s="10" t="n">
        <f aca="false">B210-C210</f>
        <v>-4558153.2625</v>
      </c>
      <c r="E210" s="11" t="n">
        <v>-2998559.16875</v>
      </c>
      <c r="F210" s="10" t="n">
        <f aca="false">B210-E210</f>
        <v>4725074.96875</v>
      </c>
      <c r="G210" s="10" t="n">
        <f aca="false">AVERAGE(F209:F211)</f>
        <v>4765093.315625</v>
      </c>
      <c r="H210" s="11" t="n">
        <f aca="false">E210+G210</f>
        <v>1766534.146875</v>
      </c>
      <c r="I210" s="12" t="n">
        <f aca="false">B210-H210</f>
        <v>-40018.3468750001</v>
      </c>
      <c r="J210" s="11" t="n">
        <f aca="false">STANDARDIZE(I210,$I$224,$I$228)</f>
        <v>-0.271685701073755</v>
      </c>
      <c r="ER210" s="11"/>
      <c r="ES210" s="11"/>
    </row>
    <row r="211" customFormat="false" ht="15" hidden="false" customHeight="false" outlineLevel="0" collapsed="false">
      <c r="A211" s="10" t="s">
        <v>22</v>
      </c>
      <c r="B211" s="10" t="n">
        <v>1729967.5</v>
      </c>
      <c r="C211" s="11" t="n">
        <f aca="false">(0.5*B211)+B212+B213+B214+(0.5*B215)/4</f>
        <v>6375348.85</v>
      </c>
      <c r="D211" s="10" t="n">
        <f aca="false">B211-C211</f>
        <v>-4645381.35</v>
      </c>
      <c r="E211" s="11" t="n">
        <v>-3029790.075</v>
      </c>
      <c r="F211" s="10" t="n">
        <f aca="false">B211-E211</f>
        <v>4759757.575</v>
      </c>
      <c r="G211" s="10" t="n">
        <f aca="false">AVERAGE(F210:F212)</f>
        <v>4758317.575</v>
      </c>
      <c r="H211" s="11" t="n">
        <f aca="false">E211+G211</f>
        <v>1728527.5</v>
      </c>
      <c r="I211" s="12" t="n">
        <f aca="false">B211-H211</f>
        <v>1440</v>
      </c>
      <c r="J211" s="11" t="n">
        <f aca="false">STANDARDIZE(I211,$I$224,$I$228)</f>
        <v>-0.250144948077359</v>
      </c>
      <c r="ER211" s="11"/>
      <c r="ES211" s="11"/>
    </row>
    <row r="212" customFormat="false" ht="15" hidden="false" customHeight="false" outlineLevel="0" collapsed="false">
      <c r="A212" s="10" t="s">
        <v>23</v>
      </c>
      <c r="B212" s="10" t="n">
        <v>1725417.1</v>
      </c>
      <c r="C212" s="11" t="n">
        <f aca="false">(0.5*B212)+B213+B214+B215+(0.5*B216)/4</f>
        <v>6481687.3</v>
      </c>
      <c r="D212" s="10" t="n">
        <f aca="false">B212-C212</f>
        <v>-4756270.2</v>
      </c>
      <c r="E212" s="11" t="n">
        <v>-3064703.08125</v>
      </c>
      <c r="F212" s="10" t="n">
        <f aca="false">B212-E212</f>
        <v>4790120.18125</v>
      </c>
      <c r="G212" s="10" t="n">
        <f aca="false">AVERAGE(F211:F213)</f>
        <v>4807150.51979167</v>
      </c>
      <c r="H212" s="11" t="n">
        <f aca="false">E212+G212</f>
        <v>1742447.43854167</v>
      </c>
      <c r="I212" s="12" t="n">
        <f aca="false">B212-H212</f>
        <v>-17030.3385416665</v>
      </c>
      <c r="J212" s="11" t="n">
        <f aca="false">STANDARDIZE(I212,$I$224,$I$228)</f>
        <v>-0.259741688668233</v>
      </c>
    </row>
    <row r="213" customFormat="false" ht="16.5" hidden="false" customHeight="true" outlineLevel="0" collapsed="false">
      <c r="A213" s="10" t="s">
        <v>24</v>
      </c>
      <c r="B213" s="10" t="n">
        <v>1738851.1</v>
      </c>
      <c r="C213" s="11" t="n">
        <f aca="false">(0.5*B213)+B214+B215+B216+(0.5*B217)/4</f>
        <v>6611737.45</v>
      </c>
      <c r="D213" s="10" t="n">
        <f aca="false">B213-C213</f>
        <v>-4872886.35</v>
      </c>
      <c r="E213" s="11" t="n">
        <v>-3132722.703125</v>
      </c>
      <c r="F213" s="10" t="n">
        <f aca="false">B213-E213</f>
        <v>4871573.803125</v>
      </c>
      <c r="G213" s="10" t="n">
        <f aca="false">AVERAGE(F212:F214)</f>
        <v>4825885.61770833</v>
      </c>
      <c r="H213" s="11" t="n">
        <f aca="false">E213+G213</f>
        <v>1693162.91458333</v>
      </c>
      <c r="I213" s="12" t="n">
        <f aca="false">B213-H213</f>
        <v>45688.1854166673</v>
      </c>
      <c r="J213" s="11" t="n">
        <f aca="false">STANDARDIZE(I213,$I$224,$I$228)</f>
        <v>-0.227154662539131</v>
      </c>
      <c r="L213" s="33" t="s">
        <v>75</v>
      </c>
      <c r="M213" s="9" t="n">
        <f aca="false">_xlfn.STDEV.P(F20:F35)</f>
        <v>85908.6872170597</v>
      </c>
    </row>
    <row r="214" customFormat="false" ht="15" hidden="false" customHeight="false" outlineLevel="0" collapsed="false">
      <c r="A214" s="10" t="s">
        <v>25</v>
      </c>
      <c r="B214" s="10" t="n">
        <v>1817403.7</v>
      </c>
      <c r="C214" s="11" t="n">
        <f aca="false">(0.5*B214)+B215+B216+B217+(0.5*B218)/4</f>
        <v>6677712.1375</v>
      </c>
      <c r="D214" s="10" t="n">
        <f aca="false">B214-C214</f>
        <v>-4860308.4375</v>
      </c>
      <c r="E214" s="11" t="n">
        <v>-2998559.16875</v>
      </c>
      <c r="F214" s="10" t="n">
        <f aca="false">B214-E214</f>
        <v>4815962.86875</v>
      </c>
      <c r="G214" s="10" t="n">
        <f aca="false">AVERAGE(F213:F215)</f>
        <v>4848957.44895833</v>
      </c>
      <c r="H214" s="11" t="n">
        <f aca="false">E214+G214</f>
        <v>1850398.28020833</v>
      </c>
      <c r="I214" s="12" t="n">
        <f aca="false">B214-H214</f>
        <v>-32994.5802083339</v>
      </c>
      <c r="J214" s="11" t="n">
        <f aca="false">STANDARDIZE(I214,$I$224,$I$228)</f>
        <v>-0.268036322015609</v>
      </c>
      <c r="L214" s="23"/>
    </row>
    <row r="215" customFormat="false" ht="15" hidden="false" customHeight="false" outlineLevel="0" collapsed="false">
      <c r="A215" s="10" t="s">
        <v>26</v>
      </c>
      <c r="B215" s="10" t="n">
        <v>1829545.6</v>
      </c>
      <c r="C215" s="11" t="n">
        <f aca="false">(0.5*B215)+B216+B217+B218+(0.5*B219)/4</f>
        <v>6733694.2125</v>
      </c>
      <c r="D215" s="10" t="n">
        <f aca="false">B215-C215</f>
        <v>-4904148.6125</v>
      </c>
      <c r="E215" s="11" t="n">
        <v>-3029790.075</v>
      </c>
      <c r="F215" s="10" t="n">
        <f aca="false">B215-E215</f>
        <v>4859335.675</v>
      </c>
      <c r="G215" s="10" t="n">
        <f aca="false">AVERAGE(F214:F216)</f>
        <v>4868476.14166667</v>
      </c>
      <c r="H215" s="11" t="n">
        <f aca="false">E215+G215</f>
        <v>1838686.06666667</v>
      </c>
      <c r="I215" s="12" t="n">
        <f aca="false">B215-H215</f>
        <v>-9140.46666666633</v>
      </c>
      <c r="J215" s="11" t="n">
        <f aca="false">STANDARDIZE(I215,$I$224,$I$228)</f>
        <v>-0.255642302319206</v>
      </c>
      <c r="L215" s="23"/>
    </row>
    <row r="216" customFormat="false" ht="16.4" hidden="false" customHeight="false" outlineLevel="0" collapsed="false">
      <c r="A216" s="10" t="s">
        <v>27</v>
      </c>
      <c r="B216" s="10" t="n">
        <v>1865426.8</v>
      </c>
      <c r="C216" s="11" t="n">
        <f aca="false">(0.5*B216)+B217+B218+B219+(0.5*B220)/4</f>
        <v>6789523.8875</v>
      </c>
      <c r="D216" s="10" t="n">
        <f aca="false">B216-C216</f>
        <v>-4924097.0875</v>
      </c>
      <c r="E216" s="11" t="n">
        <v>-3064703.08125</v>
      </c>
      <c r="F216" s="10" t="n">
        <f aca="false">B216-E216</f>
        <v>4930129.88125</v>
      </c>
      <c r="G216" s="10" t="n">
        <f aca="false">AVERAGE(F215:F217)</f>
        <v>4920558.21979167</v>
      </c>
      <c r="H216" s="11" t="n">
        <f aca="false">E216+G216</f>
        <v>1855855.13854167</v>
      </c>
      <c r="I216" s="12" t="n">
        <f aca="false">B216-H216</f>
        <v>9571.66145833326</v>
      </c>
      <c r="J216" s="11" t="n">
        <f aca="false">STANDARDIZE(I216,$I$224,$I$228)</f>
        <v>-0.245919933716502</v>
      </c>
      <c r="L216" s="33" t="s">
        <v>76</v>
      </c>
      <c r="M216" s="34" t="n">
        <f aca="false">(F35/F20)^(1/5)-1</f>
        <v>0.026363231051121</v>
      </c>
    </row>
    <row r="217" customFormat="false" ht="15" hidden="false" customHeight="false" outlineLevel="0" collapsed="false">
      <c r="A217" s="10" t="s">
        <v>28</v>
      </c>
      <c r="B217" s="10" t="n">
        <v>1839486.4</v>
      </c>
      <c r="C217" s="11" t="n">
        <f aca="false">(0.5*B217)+B218+B219+B220+(0.5*B221)/4</f>
        <v>6858196.625</v>
      </c>
      <c r="D217" s="10" t="n">
        <f aca="false">B217-C217</f>
        <v>-5018710.225</v>
      </c>
      <c r="E217" s="11" t="n">
        <v>-3132722.703125</v>
      </c>
      <c r="F217" s="10" t="n">
        <f aca="false">B217-E217</f>
        <v>4972209.103125</v>
      </c>
      <c r="G217" s="10" t="n">
        <f aca="false">AVERAGE(F216:F218)</f>
        <v>4925770.01770833</v>
      </c>
      <c r="H217" s="11" t="n">
        <f aca="false">E217+G217</f>
        <v>1793047.31458333</v>
      </c>
      <c r="I217" s="12" t="n">
        <f aca="false">B217-H217</f>
        <v>46439.0854166667</v>
      </c>
      <c r="J217" s="11" t="n">
        <f aca="false">STANDARDIZE(I217,$I$224,$I$228)</f>
        <v>-0.226764513084457</v>
      </c>
    </row>
    <row r="218" customFormat="false" ht="16.4" hidden="false" customHeight="false" outlineLevel="0" collapsed="false">
      <c r="A218" s="10" t="s">
        <v>29</v>
      </c>
      <c r="B218" s="10" t="n">
        <v>1876411.9</v>
      </c>
      <c r="C218" s="11"/>
      <c r="D218" s="10" t="n">
        <f aca="false">B218-C218</f>
        <v>1876411.9</v>
      </c>
      <c r="E218" s="11" t="n">
        <v>-2998559.16875</v>
      </c>
      <c r="F218" s="10" t="n">
        <f aca="false">B218-E218</f>
        <v>4874971.06875</v>
      </c>
      <c r="G218" s="10" t="n">
        <f aca="false">AVERAGE(F217:F219)</f>
        <v>4925913.58229167</v>
      </c>
      <c r="H218" s="11" t="n">
        <f aca="false">E218+G218</f>
        <v>1927354.41354167</v>
      </c>
      <c r="I218" s="12" t="n">
        <f aca="false">B218-H218</f>
        <v>-50942.5135416668</v>
      </c>
      <c r="J218" s="11" t="n">
        <f aca="false">STANDARDIZE(I218,$I$224,$I$228)</f>
        <v>-0.277361633511862</v>
      </c>
      <c r="L218" s="35" t="s">
        <v>77</v>
      </c>
      <c r="M218" s="35" t="s">
        <v>78</v>
      </c>
      <c r="N218" s="35" t="s">
        <v>79</v>
      </c>
    </row>
    <row r="219" customFormat="false" ht="15" hidden="false" customHeight="false" outlineLevel="0" collapsed="false">
      <c r="A219" s="10" t="s">
        <v>30</v>
      </c>
      <c r="B219" s="10" t="n">
        <v>1900770.5</v>
      </c>
      <c r="C219" s="11"/>
      <c r="D219" s="10" t="n">
        <f aca="false">B219-C219</f>
        <v>1900770.5</v>
      </c>
      <c r="E219" s="11" t="n">
        <v>-3029790.075</v>
      </c>
      <c r="F219" s="10" t="n">
        <f aca="false">B219-E219</f>
        <v>4930560.575</v>
      </c>
      <c r="G219" s="10" t="n">
        <f aca="false">AVERAGE(F218:F220)</f>
        <v>4930456.075</v>
      </c>
      <c r="H219" s="11" t="n">
        <f aca="false">E219+G219</f>
        <v>1900666</v>
      </c>
      <c r="I219" s="12" t="n">
        <f aca="false">B219-H219</f>
        <v>104.5</v>
      </c>
      <c r="J219" s="11" t="n">
        <f aca="false">STANDARDIZE(I219,$I$224,$I$228)</f>
        <v>-0.250838841534168</v>
      </c>
      <c r="L219" s="36" t="s">
        <v>80</v>
      </c>
      <c r="M219" s="11" t="n">
        <v>-0.2</v>
      </c>
      <c r="N219" s="11" t="n">
        <f aca="false">COUNTIF(J206:J221,"&lt;"&amp;M219)</f>
        <v>15</v>
      </c>
    </row>
    <row r="220" customFormat="false" ht="15" hidden="false" customHeight="false" outlineLevel="0" collapsed="false">
      <c r="A220" s="10" t="s">
        <v>31</v>
      </c>
      <c r="B220" s="10" t="n">
        <v>1921133.5</v>
      </c>
      <c r="C220" s="11"/>
      <c r="D220" s="10" t="n">
        <f aca="false">B220-C220</f>
        <v>1921133.5</v>
      </c>
      <c r="E220" s="11" t="n">
        <v>-3064703.08125</v>
      </c>
      <c r="F220" s="10" t="n">
        <f aca="false">B220-E220</f>
        <v>4985836.58125</v>
      </c>
      <c r="G220" s="10" t="n">
        <f aca="false">AVERAGE(F219:F221)</f>
        <v>4990073.353125</v>
      </c>
      <c r="H220" s="11" t="n">
        <f aca="false">E220+G220</f>
        <v>1925370.271875</v>
      </c>
      <c r="I220" s="12" t="n">
        <f aca="false">B220-H220</f>
        <v>-4236.77187499963</v>
      </c>
      <c r="J220" s="11" t="n">
        <f aca="false">STANDARDIZE(I220,$I$224,$I$228)</f>
        <v>-0.253094461263327</v>
      </c>
      <c r="L220" s="11" t="n">
        <f aca="false">M219</f>
        <v>-0.2</v>
      </c>
      <c r="M220" s="11" t="n">
        <f aca="false">M219+0.5</f>
        <v>0.3</v>
      </c>
      <c r="N220" s="11" t="n">
        <f aca="false">COUNTIF($J$206:$J$221,"&gt;="&amp;M220)-COUNTIF($J$206:$J$221,"&gt;"&amp;M221)</f>
        <v>0</v>
      </c>
    </row>
    <row r="221" customFormat="false" ht="15" hidden="false" customHeight="false" outlineLevel="0" collapsed="false">
      <c r="A221" s="10" t="s">
        <v>32</v>
      </c>
      <c r="B221" s="10" t="n">
        <v>1921100.2</v>
      </c>
      <c r="C221" s="11"/>
      <c r="D221" s="10" t="n">
        <f aca="false">B221-C221</f>
        <v>1921100.2</v>
      </c>
      <c r="E221" s="11" t="n">
        <v>-3132722.703125</v>
      </c>
      <c r="F221" s="10" t="n">
        <f aca="false">B221-E221</f>
        <v>5053822.903125</v>
      </c>
      <c r="G221" s="10" t="n">
        <f aca="false">AVERAGE(F220:F221)</f>
        <v>5019829.7421875</v>
      </c>
      <c r="H221" s="11" t="n">
        <f aca="false">E221+G221</f>
        <v>1887107.0390625</v>
      </c>
      <c r="I221" s="12" t="n">
        <f aca="false">B221-H221</f>
        <v>33993.1609375</v>
      </c>
      <c r="J221" s="11" t="n">
        <f aca="false">STANDARDIZE(I221,$I$224,$I$228)</f>
        <v>-0.233231114027949</v>
      </c>
      <c r="L221" s="11" t="n">
        <f aca="false">M220</f>
        <v>0.3</v>
      </c>
      <c r="M221" s="11" t="n">
        <f aca="false">M220+0.5</f>
        <v>0.8</v>
      </c>
      <c r="N221" s="11" t="n">
        <f aca="false">COUNTIF($J$206:$J$221,"&gt;="&amp;M221)-COUNTIF($J$206:$J$221,"&gt;"&amp;M222)</f>
        <v>0</v>
      </c>
    </row>
    <row r="222" customFormat="false" ht="15" hidden="false" customHeight="false" outlineLevel="0" collapsed="false">
      <c r="D222" s="23"/>
      <c r="E222" s="23"/>
      <c r="F222" s="23"/>
      <c r="G222" s="23"/>
      <c r="H222" s="23"/>
      <c r="K222" s="23"/>
      <c r="L222" s="11" t="n">
        <f aca="false">M221</f>
        <v>0.8</v>
      </c>
      <c r="M222" s="11" t="n">
        <f aca="false">M221+0.5</f>
        <v>1.3</v>
      </c>
      <c r="N222" s="11" t="n">
        <f aca="false">COUNTIF($J$206:$J$221,"&gt;="&amp;M222)-COUNTIF($J$206:$J$221,"&gt;"&amp;M223)</f>
        <v>0</v>
      </c>
    </row>
    <row r="223" customFormat="false" ht="16.4" hidden="false" customHeight="false" outlineLevel="0" collapsed="false">
      <c r="E223" s="23"/>
      <c r="F223" s="23"/>
      <c r="G223" s="23"/>
      <c r="H223" s="23"/>
      <c r="I223" s="25" t="s">
        <v>47</v>
      </c>
      <c r="J223" s="37" t="s">
        <v>48</v>
      </c>
      <c r="K223" s="23"/>
      <c r="L223" s="11" t="n">
        <f aca="false">M222</f>
        <v>1.3</v>
      </c>
      <c r="M223" s="11" t="n">
        <f aca="false">M222+0.5</f>
        <v>1.8</v>
      </c>
      <c r="N223" s="11" t="n">
        <f aca="false">COUNTIF($J$206:$J$221,"&gt;="&amp;M223)-COUNTIF($J$206:$J$221,"&gt;"&amp;M224)</f>
        <v>0</v>
      </c>
    </row>
    <row r="224" customFormat="false" ht="15" hidden="false" customHeight="false" outlineLevel="0" collapsed="false">
      <c r="E224" s="23"/>
      <c r="F224" s="23"/>
      <c r="G224" s="23"/>
      <c r="H224" s="38" t="s">
        <v>81</v>
      </c>
      <c r="I224" s="57" t="n">
        <f aca="false">AVERAGE(I206:I221)</f>
        <v>482880.738313802</v>
      </c>
      <c r="J224" s="24" t="n">
        <f aca="false">AVERAGE(J206:J221)</f>
        <v>0</v>
      </c>
      <c r="K224" s="23"/>
      <c r="L224" s="11" t="n">
        <f aca="false">M223</f>
        <v>1.8</v>
      </c>
      <c r="M224" s="11" t="n">
        <f aca="false">M223+0.5</f>
        <v>2.3</v>
      </c>
      <c r="N224" s="11" t="n">
        <f aca="false">COUNTIF($J$206:$J$221,"&gt;="&amp;M224)-COUNTIF($J$206:$J$221,"&gt;"&amp;M225)</f>
        <v>0</v>
      </c>
    </row>
    <row r="225" customFormat="false" ht="15" hidden="false" customHeight="false" outlineLevel="0" collapsed="false">
      <c r="E225" s="23"/>
      <c r="F225" s="23"/>
      <c r="G225" s="23"/>
      <c r="H225" s="39" t="s">
        <v>82</v>
      </c>
      <c r="I225" s="40" t="n">
        <f aca="false">VAR(I206:I221)</f>
        <v>3704266296685.48</v>
      </c>
      <c r="J225" s="41" t="n">
        <f aca="false">VAR(J206:J221)</f>
        <v>1</v>
      </c>
      <c r="K225" s="23"/>
      <c r="L225" s="11" t="n">
        <f aca="false">M224</f>
        <v>2.3</v>
      </c>
      <c r="M225" s="11" t="n">
        <f aca="false">M224+0.5</f>
        <v>2.8</v>
      </c>
      <c r="N225" s="11" t="n">
        <f aca="false">COUNTIF($J$206:$J$221,"&gt;="&amp;M225)-COUNTIF($J$206:$J$221,"&gt;"&amp;M226)</f>
        <v>1</v>
      </c>
    </row>
    <row r="226" customFormat="false" ht="15" hidden="false" customHeight="false" outlineLevel="0" collapsed="false">
      <c r="E226" s="23"/>
      <c r="F226" s="23"/>
      <c r="G226" s="23"/>
      <c r="H226" s="35" t="s">
        <v>83</v>
      </c>
      <c r="I226" s="61"/>
      <c r="J226" s="24" t="n">
        <f aca="false">MIN(J206:J221)</f>
        <v>-0.277361633511862</v>
      </c>
      <c r="K226" s="23"/>
      <c r="L226" s="11" t="n">
        <f aca="false">M225</f>
        <v>2.8</v>
      </c>
      <c r="M226" s="36" t="s">
        <v>84</v>
      </c>
      <c r="N226" s="11" t="n">
        <f aca="false">COUNTIF($J$206:$J$221,"&gt;="&amp;M226)-COUNTIF($J$206:$J$221,"&gt;"&amp;M227)</f>
        <v>0</v>
      </c>
    </row>
    <row r="227" customFormat="false" ht="15" hidden="false" customHeight="false" outlineLevel="0" collapsed="false">
      <c r="E227" s="23"/>
      <c r="F227" s="23"/>
      <c r="G227" s="23"/>
      <c r="H227" s="35" t="s">
        <v>85</v>
      </c>
      <c r="I227" s="59"/>
      <c r="J227" s="24" t="n">
        <f aca="false">MAX(J206:J221)</f>
        <v>3.74955980810438</v>
      </c>
      <c r="K227" s="23"/>
      <c r="M227" s="23"/>
    </row>
    <row r="228" customFormat="false" ht="15" hidden="false" customHeight="false" outlineLevel="0" collapsed="false">
      <c r="C228" s="23"/>
      <c r="H228" s="35" t="s">
        <v>86</v>
      </c>
      <c r="I228" s="11" t="n">
        <f aca="false">SQRT(I225)</f>
        <v>1924647.05769278</v>
      </c>
      <c r="J228" s="11"/>
      <c r="K228" s="23"/>
    </row>
    <row r="229" customFormat="false" ht="15" hidden="false" customHeight="false" outlineLevel="0" collapsed="false">
      <c r="C229" s="23"/>
      <c r="H229" s="43"/>
      <c r="K229" s="23"/>
    </row>
    <row r="230" customFormat="false" ht="15" hidden="false" customHeight="false" outlineLevel="0" collapsed="false">
      <c r="C230" s="23"/>
      <c r="H230" s="43"/>
      <c r="K230" s="23"/>
    </row>
    <row r="231" customFormat="false" ht="15" hidden="false" customHeight="false" outlineLevel="0" collapsed="false">
      <c r="C231" s="23"/>
      <c r="H231" s="43"/>
      <c r="K231" s="23"/>
    </row>
    <row r="232" customFormat="false" ht="15" hidden="false" customHeight="false" outlineLevel="0" collapsed="false">
      <c r="A232" s="23"/>
      <c r="B232" s="43" t="s">
        <v>16</v>
      </c>
      <c r="C232" s="43"/>
    </row>
    <row r="233" customFormat="false" ht="16.4" hidden="false" customHeight="false" outlineLevel="0" collapsed="false">
      <c r="A233" s="44" t="s">
        <v>39</v>
      </c>
      <c r="B233" s="45" t="s">
        <v>87</v>
      </c>
      <c r="C233" s="45" t="s">
        <v>88</v>
      </c>
      <c r="D233" s="45" t="s">
        <v>89</v>
      </c>
      <c r="E233" s="45" t="s">
        <v>90</v>
      </c>
      <c r="F233" s="45" t="s">
        <v>91</v>
      </c>
      <c r="G233" s="45" t="s">
        <v>92</v>
      </c>
      <c r="H233" s="45" t="s">
        <v>93</v>
      </c>
      <c r="I233" s="46" t="s">
        <v>94</v>
      </c>
      <c r="J233" s="29" t="s">
        <v>48</v>
      </c>
      <c r="L233" s="47" t="s">
        <v>99</v>
      </c>
      <c r="M233" s="11" t="n">
        <v>2007</v>
      </c>
      <c r="N233" s="11" t="n">
        <v>2008</v>
      </c>
      <c r="O233" s="11" t="n">
        <v>2009</v>
      </c>
      <c r="P233" s="11" t="n">
        <v>2010</v>
      </c>
      <c r="Q233" s="36" t="s">
        <v>96</v>
      </c>
    </row>
    <row r="234" customFormat="false" ht="15" hidden="false" customHeight="false" outlineLevel="0" collapsed="false">
      <c r="A234" s="10" t="s">
        <v>17</v>
      </c>
      <c r="B234" s="10" t="n">
        <v>2822.5</v>
      </c>
      <c r="C234" s="10" t="n">
        <f aca="false">(0.5*B234)+B235+B236+B237+(0.5*B238)/4</f>
        <v>10898.7625</v>
      </c>
      <c r="D234" s="10" t="n">
        <f aca="false">B234-C234</f>
        <v>-8076.2625</v>
      </c>
      <c r="E234" s="10" t="n">
        <v>-7366.109375</v>
      </c>
      <c r="F234" s="10" t="n">
        <f aca="false">B234-E234</f>
        <v>10188.609375</v>
      </c>
      <c r="G234" s="10" t="n">
        <f aca="false">AVERAGE(F234:F235)</f>
        <v>10425.1296875</v>
      </c>
      <c r="H234" s="10" t="n">
        <f aca="false">E234+G234</f>
        <v>3059.0203125</v>
      </c>
      <c r="I234" s="12" t="n">
        <f aca="false">B234-H234</f>
        <v>-236.520312500002</v>
      </c>
      <c r="J234" s="11" t="n">
        <f aca="false">(I234-$I$252)/SQRT($I$253)</f>
        <v>-0.325518266479713</v>
      </c>
      <c r="L234" s="11" t="s">
        <v>52</v>
      </c>
      <c r="M234" s="11" t="n">
        <v>-8076.2625</v>
      </c>
      <c r="N234" s="11" t="n">
        <v>-11579.025</v>
      </c>
      <c r="O234" s="11" t="n">
        <v>-15922.35</v>
      </c>
      <c r="P234" s="11" t="n">
        <v>6113.2</v>
      </c>
      <c r="Q234" s="11" t="n">
        <f aca="false">AVERAGE(M234:P234)</f>
        <v>-7366.109375</v>
      </c>
    </row>
    <row r="235" customFormat="false" ht="15" hidden="false" customHeight="false" outlineLevel="0" collapsed="false">
      <c r="A235" s="10" t="s">
        <v>18</v>
      </c>
      <c r="B235" s="10" t="n">
        <v>3016.2</v>
      </c>
      <c r="C235" s="16" t="n">
        <f aca="false">(0.5*B235)+B236+B237+B238+(0.5*B239)/4</f>
        <v>11239.3125</v>
      </c>
      <c r="D235" s="10" t="n">
        <f aca="false">B235-C235</f>
        <v>-8223.1125</v>
      </c>
      <c r="E235" s="10" t="n">
        <v>-7645.45</v>
      </c>
      <c r="F235" s="10" t="n">
        <f aca="false">B235-E235</f>
        <v>10661.65</v>
      </c>
      <c r="G235" s="10" t="n">
        <f aca="false">AVERAGE(F234:F236)</f>
        <v>10914.2875</v>
      </c>
      <c r="H235" s="10" t="n">
        <f aca="false">E235+G235</f>
        <v>3268.8375</v>
      </c>
      <c r="I235" s="12" t="n">
        <f aca="false">B235-H235</f>
        <v>-252.637500000001</v>
      </c>
      <c r="J235" s="11" t="n">
        <f aca="false">(I235-$I$252)/SQRT($I$253)</f>
        <v>-0.347784280328249</v>
      </c>
      <c r="L235" s="11" t="s">
        <v>58</v>
      </c>
      <c r="M235" s="10" t="n">
        <v>-8223.1125</v>
      </c>
      <c r="N235" s="11" t="n">
        <v>-14273.725</v>
      </c>
      <c r="O235" s="11" t="n">
        <v>-16234.2625</v>
      </c>
      <c r="P235" s="11" t="n">
        <v>8149.3</v>
      </c>
      <c r="Q235" s="10" t="n">
        <f aca="false">AVERAGE(M235:P235)</f>
        <v>-7645.45</v>
      </c>
      <c r="ER235" s="11"/>
      <c r="ES235" s="36"/>
    </row>
    <row r="236" customFormat="false" ht="15" hidden="false" customHeight="false" outlineLevel="0" collapsed="false">
      <c r="A236" s="10" t="s">
        <v>19</v>
      </c>
      <c r="B236" s="10" t="n">
        <v>3018.6</v>
      </c>
      <c r="C236" s="10" t="n">
        <f aca="false">(0.5*B236)+B237+B238+B239+(0.5*B240)/4</f>
        <v>11520.5125</v>
      </c>
      <c r="D236" s="10" t="n">
        <f aca="false">B236-C236</f>
        <v>-8501.9125</v>
      </c>
      <c r="E236" s="10" t="n">
        <v>-8874.003125</v>
      </c>
      <c r="F236" s="10" t="n">
        <f aca="false">B236-E236</f>
        <v>11892.603125</v>
      </c>
      <c r="G236" s="10" t="n">
        <f aca="false">AVERAGE(F235:F237)</f>
        <v>11657.6958333333</v>
      </c>
      <c r="H236" s="10" t="n">
        <f aca="false">E236+G236</f>
        <v>2783.69270833333</v>
      </c>
      <c r="I236" s="12" t="n">
        <f aca="false">B236-H236</f>
        <v>234.907291666666</v>
      </c>
      <c r="J236" s="11" t="n">
        <f aca="false">(I236-$I$252)/SQRT($I$253)</f>
        <v>0.325762458706237</v>
      </c>
      <c r="L236" s="11" t="s">
        <v>64</v>
      </c>
      <c r="M236" s="10" t="n">
        <v>-8501.9125</v>
      </c>
      <c r="N236" s="11" t="n">
        <v>-17019.9625</v>
      </c>
      <c r="O236" s="11" t="n">
        <v>-18180.4375</v>
      </c>
      <c r="P236" s="11" t="n">
        <v>8206.3</v>
      </c>
      <c r="Q236" s="11" t="n">
        <f aca="false">AVERAGE(M236:P236)</f>
        <v>-8874.003125</v>
      </c>
      <c r="ER236" s="11"/>
      <c r="ES236" s="11"/>
    </row>
    <row r="237" customFormat="false" ht="15" hidden="false" customHeight="false" outlineLevel="0" collapsed="false">
      <c r="A237" s="10" t="s">
        <v>20</v>
      </c>
      <c r="B237" s="10" t="n">
        <v>3045.9</v>
      </c>
      <c r="C237" s="11" t="n">
        <f aca="false">(0.5*B237)+B238+B239+B240+(0.5*B241)/4</f>
        <v>12111.6</v>
      </c>
      <c r="D237" s="10" t="n">
        <f aca="false">B237-C237</f>
        <v>-9065.7</v>
      </c>
      <c r="E237" s="10" t="n">
        <v>-9372.934375</v>
      </c>
      <c r="F237" s="10" t="n">
        <f aca="false">B237-E237</f>
        <v>12418.834375</v>
      </c>
      <c r="G237" s="10" t="n">
        <f aca="false">AVERAGE(F236:F238)</f>
        <v>11644.015625</v>
      </c>
      <c r="H237" s="10" t="n">
        <f aca="false">E237+G237</f>
        <v>2271.08125</v>
      </c>
      <c r="I237" s="12" t="n">
        <f aca="false">B237-H237</f>
        <v>774.818750000001</v>
      </c>
      <c r="J237" s="11" t="n">
        <f aca="false">(I237-$I$252)/SQRT($I$253)</f>
        <v>1.07165413541684</v>
      </c>
      <c r="L237" s="11" t="s">
        <v>70</v>
      </c>
      <c r="M237" s="10" t="n">
        <v>-9065.7</v>
      </c>
      <c r="N237" s="11" t="n">
        <v>-16024.425</v>
      </c>
      <c r="O237" s="11" t="n">
        <v>-20496.1125</v>
      </c>
      <c r="P237" s="11" t="n">
        <v>8094.5</v>
      </c>
      <c r="Q237" s="11" t="n">
        <f aca="false">AVERAGE(M237:P237)</f>
        <v>-9372.934375</v>
      </c>
      <c r="ER237" s="11"/>
      <c r="ES237" s="10"/>
    </row>
    <row r="238" customFormat="false" ht="15" hidden="false" customHeight="false" outlineLevel="0" collapsed="false">
      <c r="A238" s="10" t="s">
        <v>21</v>
      </c>
      <c r="B238" s="10" t="n">
        <v>3254.5</v>
      </c>
      <c r="C238" s="11" t="n">
        <f aca="false">(0.5*B238)+B239+B240+B241+(0.5*B242)/4</f>
        <v>14833.525</v>
      </c>
      <c r="D238" s="10" t="n">
        <f aca="false">B238-C238</f>
        <v>-11579.025</v>
      </c>
      <c r="E238" s="10" t="n">
        <v>-7366.109375</v>
      </c>
      <c r="F238" s="10" t="n">
        <f aca="false">B238-E238</f>
        <v>10620.609375</v>
      </c>
      <c r="G238" s="10" t="n">
        <f aca="false">AVERAGE(F237:F239)</f>
        <v>11327.53125</v>
      </c>
      <c r="H238" s="10" t="n">
        <f aca="false">E238+G238</f>
        <v>3961.421875</v>
      </c>
      <c r="I238" s="12" t="n">
        <f aca="false">B238-H238</f>
        <v>-706.921875000001</v>
      </c>
      <c r="J238" s="11" t="n">
        <f aca="false">(I238-$I$252)/SQRT($I$253)</f>
        <v>-0.975381507507262</v>
      </c>
      <c r="ER238" s="11"/>
      <c r="ES238" s="11"/>
    </row>
    <row r="239" customFormat="false" ht="15" hidden="false" customHeight="false" outlineLevel="0" collapsed="false">
      <c r="A239" s="10" t="s">
        <v>22</v>
      </c>
      <c r="B239" s="10" t="n">
        <v>3297.7</v>
      </c>
      <c r="C239" s="10" t="n">
        <f aca="false">(0.5*B239)+B240+B241+B242+(0.5*B243)/4</f>
        <v>17571.425</v>
      </c>
      <c r="D239" s="10" t="n">
        <f aca="false">B239-C239</f>
        <v>-14273.725</v>
      </c>
      <c r="E239" s="10" t="n">
        <v>-7645.45</v>
      </c>
      <c r="F239" s="10" t="n">
        <f aca="false">B239-E239</f>
        <v>10943.15</v>
      </c>
      <c r="G239" s="10" t="n">
        <f aca="false">AVERAGE(F238:F240)</f>
        <v>11247.5541666667</v>
      </c>
      <c r="H239" s="10" t="n">
        <f aca="false">E239+G239</f>
        <v>3602.10416666667</v>
      </c>
      <c r="I239" s="12" t="n">
        <f aca="false">B239-H239</f>
        <v>-304.404166666667</v>
      </c>
      <c r="J239" s="11" t="n">
        <f aca="false">(I239-$I$252)/SQRT($I$253)</f>
        <v>-0.419300313562498</v>
      </c>
      <c r="ER239" s="11"/>
      <c r="ES239" s="11"/>
    </row>
    <row r="240" customFormat="false" ht="15" hidden="false" customHeight="false" outlineLevel="0" collapsed="false">
      <c r="A240" s="10" t="s">
        <v>23</v>
      </c>
      <c r="B240" s="10" t="n">
        <v>3304.9</v>
      </c>
      <c r="C240" s="10" t="n">
        <f aca="false">(0.5*B240)+B241+B242+B243+(0.5*B244)/4</f>
        <v>20324.8625</v>
      </c>
      <c r="D240" s="10" t="n">
        <f aca="false">B240-C240</f>
        <v>-17019.9625</v>
      </c>
      <c r="E240" s="10" t="n">
        <v>-8874.003125</v>
      </c>
      <c r="F240" s="10" t="n">
        <f aca="false">B240-E240</f>
        <v>12178.903125</v>
      </c>
      <c r="G240" s="10" t="n">
        <f aca="false">AVERAGE(F239:F241)</f>
        <v>12782.4625</v>
      </c>
      <c r="H240" s="10" t="n">
        <f aca="false">E240+G240</f>
        <v>3908.459375</v>
      </c>
      <c r="I240" s="12" t="n">
        <f aca="false">B240-H240</f>
        <v>-603.559375</v>
      </c>
      <c r="J240" s="11" t="n">
        <f aca="false">(I240-$I$252)/SQRT($I$253)</f>
        <v>-0.83258544855346</v>
      </c>
    </row>
    <row r="241" customFormat="false" ht="16.4" hidden="false" customHeight="false" outlineLevel="0" collapsed="false">
      <c r="A241" s="10" t="s">
        <v>24</v>
      </c>
      <c r="B241" s="10" t="n">
        <v>5852.4</v>
      </c>
      <c r="C241" s="10" t="n">
        <f aca="false">(0.5*B241)+B242+B243+B244+(0.5*B245)/4</f>
        <v>21876.825</v>
      </c>
      <c r="D241" s="10" t="n">
        <f aca="false">B241-C241</f>
        <v>-16024.425</v>
      </c>
      <c r="E241" s="10" t="n">
        <v>-9372.934375</v>
      </c>
      <c r="F241" s="10" t="n">
        <f aca="false">B241-E241</f>
        <v>15225.334375</v>
      </c>
      <c r="G241" s="10" t="n">
        <f aca="false">AVERAGE(F240:F242)</f>
        <v>13593.515625</v>
      </c>
      <c r="H241" s="10" t="n">
        <f aca="false">E241+G241</f>
        <v>4220.58125</v>
      </c>
      <c r="I241" s="12" t="n">
        <f aca="false">B241-H241</f>
        <v>1631.81875</v>
      </c>
      <c r="J241" s="11" t="n">
        <f aca="false">(I241-$I$252)/SQRT($I$253)</f>
        <v>2.25560597988081</v>
      </c>
      <c r="L241" s="62" t="s">
        <v>100</v>
      </c>
      <c r="M241" s="9" t="n">
        <f aca="false">_xlfn.STDEV.P(G20:G35)</f>
        <v>1952.6886774934</v>
      </c>
    </row>
    <row r="242" customFormat="false" ht="15" hidden="false" customHeight="false" outlineLevel="0" collapsed="false">
      <c r="A242" s="10" t="s">
        <v>25</v>
      </c>
      <c r="B242" s="10" t="n">
        <v>6010.2</v>
      </c>
      <c r="C242" s="11" t="n">
        <f aca="false">(0.5*B242)+B243+B244+B245+(0.5*B246)/4</f>
        <v>21932.55</v>
      </c>
      <c r="D242" s="10" t="n">
        <f aca="false">B242-C242</f>
        <v>-15922.35</v>
      </c>
      <c r="E242" s="10" t="n">
        <v>-7366.109375</v>
      </c>
      <c r="F242" s="10" t="n">
        <f aca="false">B242-E242</f>
        <v>13376.309375</v>
      </c>
      <c r="G242" s="10" t="n">
        <f aca="false">AVERAGE(F241:F243)</f>
        <v>14095.8979166667</v>
      </c>
      <c r="H242" s="10" t="n">
        <f aca="false">E242+G242</f>
        <v>6729.78854166667</v>
      </c>
      <c r="I242" s="12" t="n">
        <f aca="false">B242-H242</f>
        <v>-719.588541666668</v>
      </c>
      <c r="J242" s="11" t="n">
        <f aca="false">(I242-$I$252)/SQRT($I$253)</f>
        <v>-0.99288060127997</v>
      </c>
      <c r="L242" s="23"/>
    </row>
    <row r="243" customFormat="false" ht="15" hidden="false" customHeight="false" outlineLevel="0" collapsed="false">
      <c r="A243" s="10" t="s">
        <v>26</v>
      </c>
      <c r="B243" s="10" t="n">
        <v>6040.6</v>
      </c>
      <c r="C243" s="10" t="n">
        <f aca="false">(0.5*B243)+B244+B245+B246+(0.5*B247)/4</f>
        <v>22274.8625</v>
      </c>
      <c r="D243" s="10" t="n">
        <f aca="false">B243-C243</f>
        <v>-16234.2625</v>
      </c>
      <c r="E243" s="10" t="n">
        <v>-7645.45</v>
      </c>
      <c r="F243" s="10" t="n">
        <f aca="false">B243-E243</f>
        <v>13686.05</v>
      </c>
      <c r="G243" s="10" t="n">
        <f aca="false">AVERAGE(F242:F244)</f>
        <v>14030.0208333333</v>
      </c>
      <c r="H243" s="10" t="n">
        <f aca="false">E243+G243</f>
        <v>6384.57083333333</v>
      </c>
      <c r="I243" s="12" t="n">
        <f aca="false">B243-H243</f>
        <v>-343.970833333334</v>
      </c>
      <c r="J243" s="11" t="n">
        <f aca="false">(I243-$I$252)/SQRT($I$253)</f>
        <v>-0.473961956478824</v>
      </c>
      <c r="L243" s="23"/>
    </row>
    <row r="244" customFormat="false" ht="16.4" hidden="false" customHeight="false" outlineLevel="0" collapsed="false">
      <c r="A244" s="10" t="s">
        <v>27</v>
      </c>
      <c r="B244" s="10" t="n">
        <v>6153.7</v>
      </c>
      <c r="C244" s="10" t="n">
        <f aca="false">(0.5*B244)+B245+B246+B247+(0.5*B248)/4</f>
        <v>24334.1375</v>
      </c>
      <c r="D244" s="10" t="n">
        <f aca="false">B244-C244</f>
        <v>-18180.4375</v>
      </c>
      <c r="E244" s="10" t="n">
        <v>-8874.003125</v>
      </c>
      <c r="F244" s="10" t="n">
        <f aca="false">B244-E244</f>
        <v>15027.703125</v>
      </c>
      <c r="G244" s="10" t="n">
        <f aca="false">AVERAGE(F243:F245)</f>
        <v>14685.2291666667</v>
      </c>
      <c r="H244" s="10" t="n">
        <f aca="false">E244+G244</f>
        <v>5811.22604166667</v>
      </c>
      <c r="I244" s="12" t="n">
        <f aca="false">B244-H244</f>
        <v>342.473958333333</v>
      </c>
      <c r="J244" s="11" t="n">
        <f aca="false">(I244-$I$252)/SQRT($I$253)</f>
        <v>0.47436660503394</v>
      </c>
      <c r="L244" s="33" t="s">
        <v>76</v>
      </c>
      <c r="M244" s="34" t="n">
        <f aca="false">(G35/G20)^(1/15)-1</f>
        <v>0.0727628822540301</v>
      </c>
    </row>
    <row r="245" customFormat="false" ht="15" hidden="false" customHeight="false" outlineLevel="0" collapsed="false">
      <c r="A245" s="10" t="s">
        <v>28</v>
      </c>
      <c r="B245" s="10" t="n">
        <v>5969</v>
      </c>
      <c r="C245" s="10" t="n">
        <f aca="false">(0.5*B245)+B246+B247+B248+(0.5*B249)/4</f>
        <v>26465.1125</v>
      </c>
      <c r="D245" s="10" t="n">
        <f aca="false">B245-C245</f>
        <v>-20496.1125</v>
      </c>
      <c r="E245" s="10" t="n">
        <v>-9372.934375</v>
      </c>
      <c r="F245" s="10" t="n">
        <f aca="false">B245-E245</f>
        <v>15341.934375</v>
      </c>
      <c r="G245" s="10" t="n">
        <f aca="false">AVERAGE(F244:F246)</f>
        <v>14616.315625</v>
      </c>
      <c r="H245" s="10" t="n">
        <f aca="false">E245+G245</f>
        <v>5243.38125</v>
      </c>
      <c r="I245" s="12" t="n">
        <f aca="false">B245-H245</f>
        <v>725.61875</v>
      </c>
      <c r="J245" s="11" t="n">
        <f aca="false">(I245-$I$252)/SQRT($I$253)</f>
        <v>1.0036839711839</v>
      </c>
    </row>
    <row r="246" customFormat="false" ht="16.4" hidden="false" customHeight="false" outlineLevel="0" collapsed="false">
      <c r="A246" s="10" t="s">
        <v>29</v>
      </c>
      <c r="B246" s="10" t="n">
        <v>6113.2</v>
      </c>
      <c r="C246" s="11"/>
      <c r="D246" s="10" t="n">
        <f aca="false">B246-C246</f>
        <v>6113.2</v>
      </c>
      <c r="E246" s="10" t="n">
        <v>-7366.109375</v>
      </c>
      <c r="F246" s="10" t="n">
        <f aca="false">B246-E246</f>
        <v>13479.309375</v>
      </c>
      <c r="G246" s="10" t="n">
        <f aca="false">AVERAGE(F245:F247)</f>
        <v>14871.9979166667</v>
      </c>
      <c r="H246" s="10" t="n">
        <f aca="false">E246+G246</f>
        <v>7505.88854166667</v>
      </c>
      <c r="I246" s="12" t="n">
        <f aca="false">B246-H246</f>
        <v>-1392.68854166667</v>
      </c>
      <c r="J246" s="11" t="n">
        <f aca="false">(I246-$I$252)/SQRT($I$253)</f>
        <v>-1.92277323431229</v>
      </c>
      <c r="L246" s="35" t="s">
        <v>77</v>
      </c>
      <c r="M246" s="35" t="s">
        <v>78</v>
      </c>
      <c r="N246" s="35" t="s">
        <v>79</v>
      </c>
    </row>
    <row r="247" customFormat="false" ht="15" hidden="false" customHeight="false" outlineLevel="0" collapsed="false">
      <c r="A247" s="10" t="s">
        <v>30</v>
      </c>
      <c r="B247" s="10" t="n">
        <v>8149.3</v>
      </c>
      <c r="C247" s="11"/>
      <c r="D247" s="10" t="n">
        <f aca="false">B247-C247</f>
        <v>8149.3</v>
      </c>
      <c r="E247" s="10" t="n">
        <v>-7645.45</v>
      </c>
      <c r="F247" s="10" t="n">
        <f aca="false">B247-E247</f>
        <v>15794.75</v>
      </c>
      <c r="G247" s="10" t="n">
        <f aca="false">AVERAGE(F246:F248)</f>
        <v>15451.4541666667</v>
      </c>
      <c r="H247" s="10" t="n">
        <f aca="false">E247+G247</f>
        <v>7806.00416666667</v>
      </c>
      <c r="I247" s="12" t="n">
        <f aca="false">B247-H247</f>
        <v>343.295833333335</v>
      </c>
      <c r="J247" s="11" t="n">
        <f aca="false">(I247-$I$252)/SQRT($I$253)</f>
        <v>0.475502031430873</v>
      </c>
      <c r="L247" s="36" t="s">
        <v>80</v>
      </c>
      <c r="M247" s="11" t="n">
        <v>-1.9</v>
      </c>
      <c r="N247" s="11" t="n">
        <f aca="false">COUNTIF(J234:J249,"&lt;"&amp;M247)</f>
        <v>1</v>
      </c>
    </row>
    <row r="248" customFormat="false" ht="15" hidden="false" customHeight="false" outlineLevel="0" collapsed="false">
      <c r="A248" s="10" t="s">
        <v>31</v>
      </c>
      <c r="B248" s="10" t="n">
        <v>8206.3</v>
      </c>
      <c r="C248" s="11"/>
      <c r="D248" s="10" t="n">
        <f aca="false">B248-C248</f>
        <v>8206.3</v>
      </c>
      <c r="E248" s="10" t="n">
        <v>-8874.003125</v>
      </c>
      <c r="F248" s="10" t="n">
        <f aca="false">B248-E248</f>
        <v>17080.303125</v>
      </c>
      <c r="G248" s="10" t="n">
        <f aca="false">AVERAGE(F247:F249)</f>
        <v>16780.8291666667</v>
      </c>
      <c r="H248" s="10" t="n">
        <f aca="false">E248+G248</f>
        <v>7906.82604166667</v>
      </c>
      <c r="I248" s="12" t="n">
        <f aca="false">B248-H248</f>
        <v>299.473958333332</v>
      </c>
      <c r="J248" s="11" t="n">
        <f aca="false">(I248-$I$252)/SQRT($I$253)</f>
        <v>0.414961786700274</v>
      </c>
      <c r="L248" s="11" t="n">
        <f aca="false">M247</f>
        <v>-1.9</v>
      </c>
      <c r="M248" s="11" t="n">
        <f aca="false">M247+0.5</f>
        <v>-1.4</v>
      </c>
      <c r="N248" s="11" t="n">
        <f aca="false">COUNTIF($J$234:$J$249,"&gt;="&amp;M248)-COUNTIF($J$234:$J$249,"&gt;"&amp;M249)</f>
        <v>2</v>
      </c>
    </row>
    <row r="249" customFormat="false" ht="15" hidden="false" customHeight="false" outlineLevel="0" collapsed="false">
      <c r="A249" s="10" t="s">
        <v>32</v>
      </c>
      <c r="B249" s="10" t="n">
        <v>8094.5</v>
      </c>
      <c r="C249" s="11"/>
      <c r="D249" s="10" t="n">
        <f aca="false">B249-C249</f>
        <v>8094.5</v>
      </c>
      <c r="E249" s="10" t="n">
        <v>-9372.934375</v>
      </c>
      <c r="F249" s="10" t="n">
        <f aca="false">B249-E249</f>
        <v>17467.434375</v>
      </c>
      <c r="G249" s="10" t="n">
        <f aca="false">AVERAGE(F248:F249)</f>
        <v>17273.86875</v>
      </c>
      <c r="H249" s="10" t="n">
        <f aca="false">E249+G249</f>
        <v>7900.934375</v>
      </c>
      <c r="I249" s="12" t="n">
        <f aca="false">B249-H249</f>
        <v>193.565624999999</v>
      </c>
      <c r="J249" s="11" t="n">
        <f aca="false">(I249-$I$252)/SQRT($I$253)</f>
        <v>0.268648640149393</v>
      </c>
      <c r="L249" s="11" t="n">
        <f aca="false">M248</f>
        <v>-1.4</v>
      </c>
      <c r="M249" s="11" t="n">
        <f aca="false">M248+0.5</f>
        <v>-0.9</v>
      </c>
      <c r="N249" s="11" t="n">
        <f aca="false">COUNTIF($J$234:$J$249,"&gt;="&amp;M249)-COUNTIF($J$234:$J$249,"&gt;"&amp;M250)</f>
        <v>3</v>
      </c>
    </row>
    <row r="250" customFormat="false" ht="15" hidden="false" customHeight="false" outlineLevel="0" collapsed="false">
      <c r="L250" s="11" t="n">
        <f aca="false">M249</f>
        <v>-0.9</v>
      </c>
      <c r="M250" s="11" t="n">
        <f aca="false">M249+0.5</f>
        <v>-0.4</v>
      </c>
      <c r="N250" s="11" t="n">
        <f aca="false">COUNTIF($J$234:$J$249,"&gt;="&amp;M250)-COUNTIF($J$234:$J$249,"&gt;"&amp;M251)</f>
        <v>2</v>
      </c>
    </row>
    <row r="251" customFormat="false" ht="16.4" hidden="false" customHeight="false" outlineLevel="0" collapsed="false">
      <c r="I251" s="25" t="s">
        <v>47</v>
      </c>
      <c r="J251" s="37" t="s">
        <v>48</v>
      </c>
      <c r="L251" s="11" t="n">
        <f aca="false">M250</f>
        <v>-0.4</v>
      </c>
      <c r="M251" s="11" t="n">
        <f aca="false">M250+0.5</f>
        <v>0.1</v>
      </c>
      <c r="N251" s="11" t="n">
        <f aca="false">COUNTIF($J$234:$J$249,"&gt;="&amp;M251)-COUNTIF($J$234:$J$249,"&gt;"&amp;M252)</f>
        <v>5</v>
      </c>
    </row>
    <row r="252" customFormat="false" ht="15" hidden="false" customHeight="false" outlineLevel="0" collapsed="false">
      <c r="H252" s="38" t="s">
        <v>81</v>
      </c>
      <c r="I252" s="10" t="n">
        <f aca="false">AVERAGE(I234:I249)</f>
        <v>-0.894889322917123</v>
      </c>
      <c r="J252" s="10" t="n">
        <f aca="false">AVERAGE(J234:J249)</f>
        <v>0</v>
      </c>
      <c r="L252" s="11" t="n">
        <f aca="false">M251</f>
        <v>0.1</v>
      </c>
      <c r="M252" s="11" t="n">
        <f aca="false">M251+0.5</f>
        <v>0.6</v>
      </c>
      <c r="N252" s="11" t="n">
        <f aca="false">COUNTIF($J$234:$J$249,"&gt;="&amp;M252)-COUNTIF($J$234:$J$249,"&gt;"&amp;M253)</f>
        <v>2</v>
      </c>
    </row>
    <row r="253" customFormat="false" ht="15" hidden="false" customHeight="false" outlineLevel="0" collapsed="false">
      <c r="H253" s="39" t="s">
        <v>82</v>
      </c>
      <c r="I253" s="51" t="n">
        <f aca="false">VAR(I234:I249)</f>
        <v>523954.490707691</v>
      </c>
      <c r="J253" s="51" t="n">
        <f aca="false">VAR(J234:J249)</f>
        <v>1</v>
      </c>
      <c r="L253" s="11" t="n">
        <f aca="false">M252</f>
        <v>0.6</v>
      </c>
      <c r="M253" s="11" t="n">
        <f aca="false">M252+0.5</f>
        <v>1.1</v>
      </c>
      <c r="N253" s="11" t="n">
        <f aca="false">COUNTIF($J$234:$J$249,"&gt;="&amp;M253)-COUNTIF($J$234:$J$249,"&gt;"&amp;M254)</f>
        <v>1</v>
      </c>
    </row>
    <row r="254" customFormat="false" ht="15" hidden="false" customHeight="false" outlineLevel="0" collapsed="false">
      <c r="H254" s="35" t="s">
        <v>83</v>
      </c>
      <c r="I254" s="11"/>
      <c r="J254" s="11" t="n">
        <f aca="false">MIN(J234:J249)</f>
        <v>-1.92277323431229</v>
      </c>
      <c r="L254" s="11" t="n">
        <f aca="false">M253</f>
        <v>1.1</v>
      </c>
      <c r="M254" s="36" t="s">
        <v>84</v>
      </c>
      <c r="N254" s="11" t="n">
        <f aca="false">COUNTIF($J$234:$J$249,"&gt;="&amp;M254)-COUNTIF($J$234:$J$249,"&gt;"&amp;M255)</f>
        <v>0</v>
      </c>
    </row>
    <row r="255" customFormat="false" ht="15" hidden="false" customHeight="false" outlineLevel="0" collapsed="false">
      <c r="H255" s="35" t="s">
        <v>85</v>
      </c>
      <c r="I255" s="11"/>
      <c r="J255" s="11" t="n">
        <f aca="false">MAX(J234:J249)</f>
        <v>2.25560597988081</v>
      </c>
    </row>
    <row r="256" customFormat="false" ht="15" hidden="false" customHeight="false" outlineLevel="0" collapsed="false">
      <c r="H256" s="35" t="s">
        <v>86</v>
      </c>
      <c r="I256" s="11" t="n">
        <f aca="false">SQRT(I253)</f>
        <v>723.847007804613</v>
      </c>
      <c r="J256" s="11"/>
    </row>
    <row r="262" customFormat="false" ht="15" hidden="false" customHeight="false" outlineLevel="0" collapsed="false">
      <c r="A262" s="0" t="s">
        <v>101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8e519dd-a12f-4177-92dc-9e3b3114761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DDFF20F746544CBD0BBEFEF3E59A31" ma:contentTypeVersion="8" ma:contentTypeDescription="Create a new document." ma:contentTypeScope="" ma:versionID="5bf06ea2d96a5e00e90730b27c41490f">
  <xsd:schema xmlns:xsd="http://www.w3.org/2001/XMLSchema" xmlns:xs="http://www.w3.org/2001/XMLSchema" xmlns:p="http://schemas.microsoft.com/office/2006/metadata/properties" xmlns:ns3="54a8058e-c5b3-47c3-850d-a5f699e5c94e" xmlns:ns4="78e519dd-a12f-4177-92dc-9e3b3114761e" targetNamespace="http://schemas.microsoft.com/office/2006/metadata/properties" ma:root="true" ma:fieldsID="8a24f4bb3b865b88d60a2a0d33d52fe0" ns3:_="" ns4:_="">
    <xsd:import namespace="54a8058e-c5b3-47c3-850d-a5f699e5c94e"/>
    <xsd:import namespace="78e519dd-a12f-4177-92dc-9e3b3114761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ObjectDetectorVersion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a8058e-c5b3-47c3-850d-a5f699e5c94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e519dd-a12f-4177-92dc-9e3b3114761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_activity" ma:index="15"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8C422D-D394-4B28-8057-8396A6A6A5B9}"/>
</file>

<file path=customXml/itemProps2.xml><?xml version="1.0" encoding="utf-8"?>
<ds:datastoreItem xmlns:ds="http://schemas.openxmlformats.org/officeDocument/2006/customXml" ds:itemID="{BF695D79-4CF4-4DC7-9587-C3104BE02AFD}"/>
</file>

<file path=customXml/itemProps3.xml><?xml version="1.0" encoding="utf-8"?>
<ds:datastoreItem xmlns:ds="http://schemas.openxmlformats.org/officeDocument/2006/customXml" ds:itemID="{31FE322A-9EDA-4489-8C70-7C77FF04A1A6}"/>
</file>

<file path=docProps/app.xml><?xml version="1.0" encoding="utf-8"?>
<Properties xmlns="http://schemas.openxmlformats.org/officeDocument/2006/extended-properties" xmlns:vt="http://schemas.openxmlformats.org/officeDocument/2006/docPropsVTypes">
  <Template/>
  <TotalTime>6</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2024-11-14T12:59:59Z</dcterms:created>
  <dc:creator>LIDIA SPITALERI</dc:creator>
  <dc:description/>
  <dc:language>it-IT</dc:language>
  <cp:lastModifiedBy/>
  <dcterms:modified xsi:type="dcterms:W3CDTF">2026-09-01T17:56:21Z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0x010100A1DDFF20F746544CBD0BBEFEF3E59A31</vt:lpwstr>
  </property>
</Properties>
</file>
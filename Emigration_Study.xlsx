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7.xml" ContentType="application/vnd.openxmlformats-officedocument.spreadsheetml.comments+xml"/>
  <Override PartName="/xl/comments2.xml" ContentType="application/vnd.openxmlformats-officedocument.spreadsheetml.comments+xml"/>
  <Override PartName="/xl/comments10.xml" ContentType="application/vnd.openxmlformats-officedocument.spreadsheetml.comment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8.xml" ContentType="application/vnd.openxmlformats-officedocument.spreadsheetml.comments+xml"/>
  <Override PartName="/xl/comments1.xml" ContentType="application/vnd.openxmlformats-officedocument.spreadsheetml.comments+xml"/>
  <Override PartName="/xl/drawings/drawing7.xml" ContentType="application/vnd.openxmlformats-officedocument.drawing+xml"/>
  <Override PartName="/xl/drawings/vmlDrawing6.vml" ContentType="application/vnd.openxmlformats-officedocument.vmlDrawing"/>
  <Override PartName="/xl/drawings/drawing6.xml" ContentType="application/vnd.openxmlformats-officedocument.drawing+xml"/>
  <Override PartName="/xl/drawings/drawing4.xml" ContentType="application/vnd.openxmlformats-officedocument.drawing+xml"/>
  <Override PartName="/xl/drawings/vmlDrawing7.vml" ContentType="application/vnd.openxmlformats-officedocument.vmlDrawing"/>
  <Override PartName="/xl/drawings/vmlDrawing3.vml" ContentType="application/vnd.openxmlformats-officedocument.vmlDrawing"/>
  <Override PartName="/xl/drawings/drawing9.xml" ContentType="application/vnd.openxmlformats-officedocument.drawing+xml"/>
  <Override PartName="/xl/drawings/drawing5.xml" ContentType="application/vnd.openxmlformats-officedocument.drawing+xml"/>
  <Override PartName="/xl/drawings/drawing1.xml" ContentType="application/vnd.openxmlformats-officedocument.drawing+xml"/>
  <Override PartName="/xl/drawings/vmlDrawing5.vml" ContentType="application/vnd.openxmlformats-officedocument.vmlDrawing"/>
  <Override PartName="/xl/drawings/drawing2.xml" ContentType="application/vnd.openxmlformats-officedocument.drawing+xml"/>
  <Override PartName="/xl/drawings/drawing8.xml" ContentType="application/vnd.openxmlformats-officedocument.drawing+xml"/>
  <Override PartName="/xl/drawings/vmlDrawing2.vml" ContentType="application/vnd.openxmlformats-officedocument.vmlDrawing"/>
  <Override PartName="/xl/drawings/vmlDrawing1.vml" ContentType="application/vnd.openxmlformats-officedocument.vmlDrawing"/>
  <Override PartName="/xl/drawings/drawing3.xml" ContentType="application/vnd.openxmlformats-officedocument.drawing+xml"/>
  <Override PartName="/xl/drawings/vmlDrawing4.vml" ContentType="application/vnd.openxmlformats-officedocument.vmlDrawing"/>
  <Override PartName="/xl/styles.xml" ContentType="application/vnd.openxmlformats-officedocument.spreadsheetml.styles+xml"/>
  <Override PartName="/xl/comments6.xml" ContentType="application/vnd.openxmlformats-officedocument.spreadsheetml.comments+xml"/>
  <Override PartName="/xl/comments4.xml" ContentType="application/vnd.openxmlformats-officedocument.spreadsheetml.comments+xml"/>
  <Override PartName="/xl/charts/chart11.xml" ContentType="application/vnd.openxmlformats-officedocument.drawingml.chart+xml"/>
  <Override PartName="/xl/charts/colors18.xml" ContentType="application/vnd.ms-office.chartcolorstyle+xml"/>
  <Override PartName="/xl/charts/chart18.xml" ContentType="application/vnd.openxmlformats-officedocument.drawingml.chart+xml"/>
  <Override PartName="/xl/charts/colors17.xml" ContentType="application/vnd.ms-office.chartcolorstyle+xml"/>
  <Override PartName="/xl/charts/colors16.xml" ContentType="application/vnd.ms-office.chartcolorstyle+xml"/>
  <Override PartName="/xl/charts/chart16.xml" ContentType="application/vnd.openxmlformats-officedocument.drawingml.chart+xml"/>
  <Override PartName="/xl/charts/colors15.xml" ContentType="application/vnd.ms-office.chartcolorstyle+xml"/>
  <Override PartName="/xl/charts/chart15.xml" ContentType="application/vnd.openxmlformats-officedocument.drawingml.chart+xml"/>
  <Override PartName="/xl/charts/colors4.xml" ContentType="application/vnd.ms-office.chartcolorstyle+xml"/>
  <Override PartName="/xl/charts/style12.xml" ContentType="application/vnd.ms-office.chartstyle+xml"/>
  <Override PartName="/xl/charts/style5.xml" ContentType="application/vnd.ms-office.chartstyle+xml"/>
  <Override PartName="/xl/charts/chart10.xml" ContentType="application/vnd.openxmlformats-officedocument.drawingml.chart+xml"/>
  <Override PartName="/xl/charts/style6.xml" ContentType="application/vnd.ms-office.chartstyle+xml"/>
  <Override PartName="/xl/charts/chart1.xml" ContentType="application/vnd.openxmlformats-officedocument.drawingml.chart+xml"/>
  <Override PartName="/xl/charts/chart24.xml" ContentType="application/vnd.openxmlformats-officedocument.drawingml.chart+xml"/>
  <Override PartName="/xl/charts/style9.xml" ContentType="application/vnd.ms-office.chartstyle+xml"/>
  <Override PartName="/xl/charts/colors6.xml" ContentType="application/vnd.ms-office.chartcolorstyle+xml"/>
  <Override PartName="/xl/charts/style7.xml" ContentType="application/vnd.ms-office.chartstyle+xml"/>
  <Override PartName="/xl/charts/chart8.xml" ContentType="application/vnd.openxmlformats-officedocument.drawingml.chart+xml"/>
  <Override PartName="/xl/charts/chart17.xml" ContentType="application/vnd.openxmlformats-officedocument.drawingml.chart+xml"/>
  <Override PartName="/xl/charts/style8.xml" ContentType="application/vnd.ms-office.chartstyle+xml"/>
  <Override PartName="/xl/charts/colors5.xml" ContentType="application/vnd.ms-office.chartcolorstyle+xml"/>
  <Override PartName="/xl/charts/colors21.xml" ContentType="application/vnd.ms-office.chartcolorstyle+xml"/>
  <Override PartName="/xl/charts/chart14.xml" ContentType="application/vnd.openxmlformats-officedocument.drawingml.chart+xml"/>
  <Override PartName="/xl/charts/style1.xml" ContentType="application/vnd.ms-office.chartstyle+xml"/>
  <Override PartName="/xl/charts/chart2.xml" ContentType="application/vnd.openxmlformats-officedocument.drawingml.chart+xml"/>
  <Override PartName="/xl/charts/chart12.xml" ContentType="application/vnd.openxmlformats-officedocument.drawingml.chart+xml"/>
  <Override PartName="/xl/charts/colors24.xml" ContentType="application/vnd.ms-office.chartcolorstyle+xml"/>
  <Override PartName="/xl/charts/colors11.xml" ContentType="application/vnd.ms-office.chartcolorstyle+xml"/>
  <Override PartName="/xl/charts/style19.xml" ContentType="application/vnd.ms-office.chartstyle+xml"/>
  <Override PartName="/xl/charts/colors3.xml" ContentType="application/vnd.ms-office.chartcolorstyle+xml"/>
  <Override PartName="/xl/charts/chart21.xml" ContentType="application/vnd.openxmlformats-officedocument.drawingml.chart+xml"/>
  <Override PartName="/xl/charts/colors23.xml" ContentType="application/vnd.ms-office.chartcolorstyle+xml"/>
  <Override PartName="/xl/charts/colors19.xml" ContentType="application/vnd.ms-office.chartcolorstyle+xml"/>
  <Override PartName="/xl/charts/colors13.xml" ContentType="application/vnd.ms-office.chartcolorstyle+xml"/>
  <Override PartName="/xl/charts/style20.xml" ContentType="application/vnd.ms-office.chartstyle+xml"/>
  <Override PartName="/xl/charts/colors22.xml" ContentType="application/vnd.ms-office.chartcolorstyle+xml"/>
  <Override PartName="/xl/charts/chart22.xml" ContentType="application/vnd.openxmlformats-officedocument.drawingml.chart+xml"/>
  <Override PartName="/xl/charts/colors20.xml" ContentType="application/vnd.ms-office.chartcolorstyle+xml"/>
  <Override PartName="/xl/charts/chart23.xml" ContentType="application/vnd.openxmlformats-officedocument.drawingml.chart+xml"/>
  <Override PartName="/xl/charts/chart9.xml" ContentType="application/vnd.openxmlformats-officedocument.drawingml.chart+xml"/>
  <Override PartName="/xl/charts/chart3.xml" ContentType="application/vnd.openxmlformats-officedocument.drawingml.chart+xml"/>
  <Override PartName="/xl/charts/colors9.xml" ContentType="application/vnd.ms-office.chartcolorstyle+xml"/>
  <Override PartName="/xl/charts/style4.xml" ContentType="application/vnd.ms-office.chartstyle+xml"/>
  <Override PartName="/xl/charts/colors8.xml" ContentType="application/vnd.ms-office.chartcolorstyle+xml"/>
  <Override PartName="/xl/charts/colors1.xml" ContentType="application/vnd.ms-office.chartcolorstyle+xml"/>
  <Override PartName="/xl/charts/chart19.xml" ContentType="application/vnd.openxmlformats-officedocument.drawingml.chart+xml"/>
  <Override PartName="/xl/charts/style22.xml" ContentType="application/vnd.ms-office.chartstyle+xml"/>
  <Override PartName="/xl/charts/colors7.xml" ContentType="application/vnd.ms-office.chartcolorstyle+xml"/>
  <Override PartName="/xl/charts/style2.xml" ContentType="application/vnd.ms-office.chartstyle+xml"/>
  <Override PartName="/xl/charts/chart5.xml" ContentType="application/vnd.openxmlformats-officedocument.drawingml.chart+xml"/>
  <Override PartName="/xl/charts/style17.xml" ContentType="application/vnd.ms-office.chartstyle+xml"/>
  <Override PartName="/xl/charts/chart6.xml" ContentType="application/vnd.openxmlformats-officedocument.drawingml.chart+xml"/>
  <Override PartName="/xl/charts/style23.xml" ContentType="application/vnd.ms-office.chartstyle+xml"/>
  <Override PartName="/xl/charts/chart20.xml" ContentType="application/vnd.openxmlformats-officedocument.drawingml.chart+xml"/>
  <Override PartName="/xl/charts/style24.xml" ContentType="application/vnd.ms-office.chartstyle+xml"/>
  <Override PartName="/xl/charts/style3.xml" ContentType="application/vnd.ms-office.chartstyle+xml"/>
  <Override PartName="/xl/charts/chart7.xml" ContentType="application/vnd.openxmlformats-officedocument.drawingml.chart+xml"/>
  <Override PartName="/xl/charts/chart4.xml" ContentType="application/vnd.openxmlformats-officedocument.drawingml.chart+xml"/>
  <Override PartName="/xl/charts/style10.xml" ContentType="application/vnd.ms-office.chartstyle+xml"/>
  <Override PartName="/xl/charts/colors2.xml" ContentType="application/vnd.ms-office.chartcolorstyle+xml"/>
  <Override PartName="/xl/charts/style16.xml" ContentType="application/vnd.ms-office.chartstyle+xml"/>
  <Override PartName="/xl/charts/colors14.xml" ContentType="application/vnd.ms-office.chartcolorstyle+xml"/>
  <Override PartName="/xl/charts/style15.xml" ContentType="application/vnd.ms-office.chartstyle+xml"/>
  <Override PartName="/xl/charts/colors10.xml" ContentType="application/vnd.ms-office.chartcolorstyle+xml"/>
  <Override PartName="/xl/charts/colors12.xml" ContentType="application/vnd.ms-office.chartcolorstyle+xml"/>
  <Override PartName="/xl/charts/style13.xml" ContentType="application/vnd.ms-office.chartstyle+xml"/>
  <Override PartName="/xl/charts/style14.xml" ContentType="application/vnd.ms-office.chartstyle+xml"/>
  <Override PartName="/xl/charts/style11.xml" ContentType="application/vnd.ms-office.chartstyle+xml"/>
  <Override PartName="/xl/charts/style21.xml" ContentType="application/vnd.ms-office.chartstyle+xml"/>
  <Override PartName="/xl/charts/chart13.xml" ContentType="application/vnd.openxmlformats-officedocument.drawingml.chart+xml"/>
  <Override PartName="/xl/charts/style18.xml" ContentType="application/vnd.ms-office.chartstyle+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TRO1" sheetId="1" state="visible" r:id="rId3"/>
    <sheet name="DATABASE 1" sheetId="2" state="visible" r:id="rId4"/>
    <sheet name="INTRO2" sheetId="3" state="visible" r:id="rId5"/>
    <sheet name="DATABASE 2" sheetId="4" state="visible" r:id="rId6"/>
    <sheet name="CORRELAZIONE EMI" sheetId="5" state="visible" r:id="rId7"/>
    <sheet name="RLM7- EMI" sheetId="6" state="visible" r:id="rId8"/>
    <sheet name="RLM4 - EMI" sheetId="7" state="visible" r:id="rId9"/>
    <sheet name="RLM2- EMI" sheetId="8" state="visible" r:id="rId10"/>
    <sheet name="PREVISIONE CON RLM2 EMI" sheetId="9" state="visible" r:id="rId11"/>
    <sheet name="PREVISIONE SU 4 ANNI" sheetId="10" state="visible" r:id="rId12"/>
    <sheet name="CONFORNTI EMI" sheetId="11" state="visible" r:id="rId1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Rishta Jhurry</author>
  </authors>
  <commentList>
    <comment ref="B7" authorId="0">
      <text>
        <r>
          <rPr>
            <sz val="10"/>
            <rFont val="Noto Sans"/>
            <family val="2"/>
          </rPr>
          <t xml:space="preserve">Il debito pubblico trimestrale si riferisce al debito alla fine di ogni trimestre.
</t>
        </r>
      </text>
      <mc:AlternateContent>
        <mc:Choice Requires="v2">
          <commentPr autoFill="true" autoScale="false" colHidden="false" locked="false" rowHidden="false" textHAlign="justify" textVAlign="top">
            <anchor moveWithCells="false" sizeWithCells="false">
              <xdr:from>
                <xdr:col>2</xdr:col>
                <xdr:colOff>15</xdr:colOff>
                <xdr:row>5</xdr:row>
                <xdr:rowOff>10</xdr:rowOff>
              </xdr:from>
              <xdr:to>
                <xdr:col>4</xdr:col>
                <xdr:colOff>31</xdr:colOff>
                <xdr:row>9</xdr:row>
                <xdr:rowOff>9</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MAHALAKSHMI JHURRY</author>
    <author>Rishta Jhurry</author>
  </authors>
  <commentList>
    <comment ref="B7" authorId="1">
      <text>
        <r>
          <rPr>
            <sz val="10"/>
            <rFont val="Noto Sans"/>
            <family val="2"/>
          </rPr>
          <t xml:space="preserve">Il debito pubblico trimestrale si riferisce al debito alla fine di ogni trimestre.
</t>
        </r>
      </text>
      <mc:AlternateContent>
        <mc:Choice Requires="v2">
          <commentPr autoFill="true" autoScale="false" colHidden="false" locked="false" rowHidden="false" textHAlign="justify" textVAlign="top">
            <anchor moveWithCells="false" sizeWithCells="false">
              <xdr:from>
                <xdr:col>1</xdr:col>
                <xdr:colOff>96</xdr:colOff>
                <xdr:row>6</xdr:row>
                <xdr:rowOff>8</xdr:rowOff>
              </xdr:from>
              <xdr:to>
                <xdr:col>2</xdr:col>
                <xdr:colOff>8</xdr:colOff>
                <xdr:row>9</xdr:row>
                <xdr:rowOff>12</xdr:rowOff>
              </xdr:to>
            </anchor>
          </commentPr>
        </mc:Choice>
        <mc:Fallback/>
      </mc:AlternateContent>
    </comment>
    <comment ref="B26" authorId="0">
      <text>
        <r>
          <rPr>
            <sz val="10"/>
            <rFont val="Noto Sans"/>
            <family val="2"/>
          </rPr>
          <t xml:space="preserve">La crisi finanziaria del 2008 è arrivata in Europa nell'autunno del 2008, con il momento più critico che si è verificato tra settembre e dicembre. Possiamo osservare che da questo dato in poi il debito pubblico inizia ad aumentare. 
I governi europei lanciano i primi pacchetti di salvataggio e misure di garanzia per stabilizzare il sistema bancario e sostenere l’economia.</t>
        </r>
      </text>
      <mc:AlternateContent>
        <mc:Choice Requires="v2">
          <commentPr autoFill="true" autoScale="false" colHidden="false" locked="false" rowHidden="false" textHAlign="justify" textVAlign="top">
            <anchor moveWithCells="false" sizeWithCells="false">
              <xdr:from>
                <xdr:col>2</xdr:col>
                <xdr:colOff>8</xdr:colOff>
                <xdr:row>21</xdr:row>
                <xdr:rowOff>0</xdr:rowOff>
              </xdr:from>
              <xdr:to>
                <xdr:col>4</xdr:col>
                <xdr:colOff>77</xdr:colOff>
                <xdr:row>28</xdr:row>
                <xdr:rowOff>4</xdr:rowOff>
              </xdr:to>
            </anchor>
          </commentPr>
        </mc:Choice>
        <mc:Fallback/>
      </mc:AlternateContent>
    </comment>
    <comment ref="B29" authorId="0">
      <text>
        <r>
          <rPr>
            <sz val="10"/>
            <rFont val="Noto Sans"/>
            <family val="2"/>
          </rPr>
          <t xml:space="preserve">Dal 2009 in poi osserviamo un aumento di circa 1milione di euro del debito pubblico rispetto al primo periodo di osservazione considerato (Q1, 2007). 
Ciò deriva dalla larga diffusione della crisi che, oltre che economico, interesserà sempre più aspetti sociali dell'economia dell'Europa.</t>
        </r>
      </text>
      <mc:AlternateContent>
        <mc:Choice Requires="v2">
          <commentPr autoFill="true" autoScale="false" colHidden="false" locked="false" rowHidden="false" textHAlign="justify" textVAlign="top">
            <anchor moveWithCells="false" sizeWithCells="false">
              <xdr:from>
                <xdr:col>2</xdr:col>
                <xdr:colOff>14</xdr:colOff>
                <xdr:row>27</xdr:row>
                <xdr:rowOff>9</xdr:rowOff>
              </xdr:from>
              <xdr:to>
                <xdr:col>4</xdr:col>
                <xdr:colOff>7</xdr:colOff>
                <xdr:row>35</xdr:row>
                <xdr:rowOff>12</xdr:rowOff>
              </xdr:to>
            </anchor>
          </commentPr>
        </mc:Choice>
        <mc:Fallback/>
      </mc:AlternateContent>
    </comment>
    <comment ref="B46" authorId="0">
      <text>
        <r>
          <rPr>
            <sz val="10"/>
            <rFont val="Noto Sans"/>
            <family val="2"/>
          </rPr>
          <t xml:space="preserve">Nel secondo trimestre del 2008 si registra un incremento del 3,88% rispetto al primo trimestre del 2007</t>
        </r>
      </text>
      <mc:AlternateContent>
        <mc:Choice Requires="v2">
          <commentPr autoFill="true" autoScale="false" colHidden="false" locked="false" rowHidden="false" textHAlign="justify" textVAlign="top">
            <anchor moveWithCells="false" sizeWithCells="false">
              <xdr:from>
                <xdr:col>2</xdr:col>
                <xdr:colOff>14</xdr:colOff>
                <xdr:row>44</xdr:row>
                <xdr:rowOff>10</xdr:rowOff>
              </xdr:from>
              <xdr:to>
                <xdr:col>3</xdr:col>
                <xdr:colOff>17</xdr:colOff>
                <xdr:row>48</xdr:row>
                <xdr:rowOff>9</xdr:rowOff>
              </xdr:to>
            </anchor>
          </commentPr>
        </mc:Choice>
        <mc:Fallback/>
      </mc:AlternateContent>
    </comment>
    <comment ref="B48" authorId="0">
      <text>
        <r>
          <rPr>
            <sz val="10"/>
            <rFont val="Noto Sans"/>
            <family val="2"/>
          </rPr>
          <t xml:space="preserve">Nel quarto trimestre del 2008 si registra un incremento del 7,99% rispetto al primo trimestre del 2007 </t>
        </r>
      </text>
      <mc:AlternateContent>
        <mc:Choice Requires="v2">
          <commentPr autoFill="true" autoScale="false" colHidden="false" locked="false" rowHidden="false" textHAlign="justify" textVAlign="top">
            <anchor moveWithCells="false" sizeWithCells="false">
              <xdr:from>
                <xdr:col>2</xdr:col>
                <xdr:colOff>14</xdr:colOff>
                <xdr:row>46</xdr:row>
                <xdr:rowOff>10</xdr:rowOff>
              </xdr:from>
              <xdr:to>
                <xdr:col>3</xdr:col>
                <xdr:colOff>17</xdr:colOff>
                <xdr:row>50</xdr:row>
                <xdr:rowOff>9</xdr:rowOff>
              </xdr:to>
            </anchor>
          </commentPr>
        </mc:Choice>
        <mc:Fallback/>
      </mc:AlternateContent>
    </comment>
    <comment ref="B93" authorId="0">
      <text>
        <r>
          <rPr>
            <sz val="10"/>
            <rFont val="Noto Sans"/>
            <family val="2"/>
          </rPr>
          <t xml:space="preserve">Un indice a base fissa confronta i valori di una variabile in diversi momenti temporali rispetto a un unico periodo di riferimento. 
In questa analisi la base di riferimento è uguale all'andamento del prezzo espresso in milioni di euro del primo trimestre dell'anno 2007. 
</t>
        </r>
      </text>
      <mc:AlternateContent>
        <mc:Choice Requires="v2">
          <commentPr autoFill="true" autoScale="false" colHidden="false" locked="false" rowHidden="false" textHAlign="justify" textVAlign="top">
            <anchor moveWithCells="false" sizeWithCells="false">
              <xdr:from>
                <xdr:col>2</xdr:col>
                <xdr:colOff>14</xdr:colOff>
                <xdr:row>91</xdr:row>
                <xdr:rowOff>10</xdr:rowOff>
              </xdr:from>
              <xdr:to>
                <xdr:col>3</xdr:col>
                <xdr:colOff>107</xdr:colOff>
                <xdr:row>100</xdr:row>
                <xdr:rowOff>8</xdr:rowOff>
              </xdr:to>
            </anchor>
          </commentPr>
        </mc:Choice>
        <mc:Fallback/>
      </mc:AlternateContent>
    </comment>
    <comment ref="B130" authorId="0">
      <text>
        <r>
          <rPr>
            <sz val="10"/>
            <rFont val="Noto Sans"/>
            <family val="2"/>
          </rPr>
          <t xml:space="preserve">Nel primo e secondo trimestre del 2009 la Germania registra un aumento positivo della spesa pubblica dovuto al diffondersi della crisi in Europa</t>
        </r>
      </text>
      <mc:AlternateContent>
        <mc:Choice Requires="v2">
          <commentPr autoFill="true" autoScale="false" colHidden="false" locked="false" rowHidden="false" textHAlign="justify" textVAlign="top">
            <anchor moveWithCells="false" sizeWithCells="false">
              <xdr:from>
                <xdr:col>2</xdr:col>
                <xdr:colOff>14</xdr:colOff>
                <xdr:row>132</xdr:row>
                <xdr:rowOff>12</xdr:rowOff>
              </xdr:from>
              <xdr:to>
                <xdr:col>3</xdr:col>
                <xdr:colOff>60</xdr:colOff>
                <xdr:row>138</xdr:row>
                <xdr:rowOff>12</xdr:rowOff>
              </xdr:to>
            </anchor>
          </commentPr>
        </mc:Choice>
        <mc:Fallback/>
      </mc:AlternateContent>
    </comment>
    <comment ref="B148" authorId="0">
      <text>
        <r>
          <rPr>
            <sz val="10"/>
            <rFont val="Noto Sans"/>
            <family val="2"/>
          </rPr>
          <t xml:space="preserve">Storicamente parlando la Spagna sarà tra i Paesi che richiederanno più prestiti
</t>
        </r>
      </text>
      <mc:AlternateContent>
        <mc:Choice Requires="v2">
          <commentPr autoFill="true" autoScale="false" colHidden="false" locked="false" rowHidden="false" textHAlign="justify" textVAlign="top">
            <anchor moveWithCells="false" sizeWithCells="false">
              <xdr:from>
                <xdr:col>2</xdr:col>
                <xdr:colOff>14</xdr:colOff>
                <xdr:row>151</xdr:row>
                <xdr:rowOff>4</xdr:rowOff>
              </xdr:from>
              <xdr:to>
                <xdr:col>3</xdr:col>
                <xdr:colOff>56</xdr:colOff>
                <xdr:row>160</xdr:row>
                <xdr:rowOff>2</xdr:rowOff>
              </xdr:to>
            </anchor>
          </commentPr>
        </mc:Choice>
        <mc:Fallback/>
      </mc:AlternateContent>
    </comment>
    <comment ref="B159" authorId="0">
      <text>
        <r>
          <rPr>
            <sz val="10"/>
            <rFont val="Noto Sans"/>
            <family val="2"/>
          </rPr>
          <t xml:space="preserve">Dall'analisi risulta che il debito pubblico della Spagna inizierà ad aumentare nettamente a partire dal secondo trimestre del 2009 con prestiti sempre più superiori rispetto al primo trimestre del 2007 
</t>
        </r>
      </text>
      <mc:AlternateContent>
        <mc:Choice Requires="v2">
          <commentPr autoFill="true" autoScale="false" colHidden="false" locked="false" rowHidden="false" textHAlign="justify" textVAlign="top">
            <anchor moveWithCells="false" sizeWithCells="false">
              <xdr:from>
                <xdr:col>2</xdr:col>
                <xdr:colOff>14</xdr:colOff>
                <xdr:row>166</xdr:row>
                <xdr:rowOff>17</xdr:rowOff>
              </xdr:from>
              <xdr:to>
                <xdr:col>3</xdr:col>
                <xdr:colOff>18</xdr:colOff>
                <xdr:row>170</xdr:row>
                <xdr:rowOff>19</xdr:rowOff>
              </xdr:to>
            </anchor>
          </commentPr>
        </mc:Choice>
        <mc:Fallback/>
      </mc:AlternateContent>
    </comment>
    <comment ref="B186" authorId="0">
      <text>
        <r>
          <rPr>
            <sz val="10"/>
            <rFont val="Noto Sans"/>
            <family val="2"/>
          </rPr>
          <t xml:space="preserve">A partire dal 1° trimestre del 2009 il debito pubblico in Francia aumenta sempre più positivamente rispetto alle osservazioni precedenti </t>
        </r>
      </text>
      <mc:AlternateContent>
        <mc:Choice Requires="v2">
          <commentPr autoFill="true" autoScale="false" colHidden="false" locked="false" rowHidden="false" textHAlign="justify" textVAlign="top">
            <anchor moveWithCells="false" sizeWithCells="false">
              <xdr:from>
                <xdr:col>2</xdr:col>
                <xdr:colOff>14</xdr:colOff>
                <xdr:row>192</xdr:row>
                <xdr:rowOff>20</xdr:rowOff>
              </xdr:from>
              <xdr:to>
                <xdr:col>3</xdr:col>
                <xdr:colOff>36</xdr:colOff>
                <xdr:row>199</xdr:row>
                <xdr:rowOff>10</xdr:rowOff>
              </xdr:to>
            </anchor>
          </commentPr>
        </mc:Choice>
        <mc:Fallback/>
      </mc:AlternateContent>
    </comment>
    <comment ref="B206" authorId="0">
      <text>
        <r>
          <rPr>
            <sz val="10"/>
            <rFont val="Noto Sans"/>
            <family val="2"/>
          </rPr>
          <t xml:space="preserve">In Italia l'aumento del debito pubblico risulta essere sempre maggiore nel corso degli anni, soprattutto negli anni che vanno dal 2009 al 2010 
</t>
        </r>
      </text>
      <mc:AlternateContent>
        <mc:Choice Requires="v2">
          <commentPr autoFill="true" autoScale="false" colHidden="false" locked="false" rowHidden="false" textHAlign="justify" textVAlign="top">
            <anchor moveWithCells="false" sizeWithCells="false">
              <xdr:from>
                <xdr:col>2</xdr:col>
                <xdr:colOff>14</xdr:colOff>
                <xdr:row>213</xdr:row>
                <xdr:rowOff>9</xdr:rowOff>
              </xdr:from>
              <xdr:to>
                <xdr:col>3</xdr:col>
                <xdr:colOff>58</xdr:colOff>
                <xdr:row>223</xdr:row>
                <xdr:rowOff>7</xdr:rowOff>
              </xdr:to>
            </anchor>
          </commentPr>
        </mc:Choice>
        <mc:Fallback/>
      </mc:AlternateContent>
    </comment>
    <comment ref="B232" authorId="0">
      <text>
        <r>
          <rPr>
            <sz val="10"/>
            <rFont val="Noto Sans"/>
            <family val="2"/>
          </rPr>
          <t xml:space="preserve">Il Lussemburgo risulta essere tra i Paesi con il più basso debito pubblico nonostante il periodo storico difficile</t>
        </r>
      </text>
      <mc:AlternateContent>
        <mc:Choice Requires="v2">
          <commentPr autoFill="true" autoScale="false" colHidden="false" locked="false" rowHidden="false" textHAlign="justify" textVAlign="top">
            <anchor moveWithCells="false" sizeWithCells="false">
              <xdr:from>
                <xdr:col>2</xdr:col>
                <xdr:colOff>14</xdr:colOff>
                <xdr:row>244</xdr:row>
                <xdr:rowOff>0</xdr:rowOff>
              </xdr:from>
              <xdr:to>
                <xdr:col>3</xdr:col>
                <xdr:colOff>44</xdr:colOff>
                <xdr:row>253</xdr:row>
                <xdr:rowOff>7</xdr:rowOff>
              </xdr:to>
            </anchor>
          </commentPr>
        </mc:Choice>
        <mc:Fallback/>
      </mc:AlternateContent>
    </comment>
    <comment ref="C43" authorId="0">
      <text>
        <r>
          <rPr>
            <sz val="10"/>
            <rFont val="Noto Sans"/>
            <family val="2"/>
          </rPr>
          <t xml:space="preserve">Nel terzo trimestre del 2007 si registra un decremento dello 0,1% rispetto al primo trimestre del 2007
</t>
        </r>
      </text>
      <mc:AlternateContent>
        <mc:Choice Requires="v2">
          <commentPr autoFill="true" autoScale="false" colHidden="false" locked="false" rowHidden="false" textHAlign="justify" textVAlign="top">
            <anchor moveWithCells="false" sizeWithCells="false">
              <xdr:from>
                <xdr:col>3</xdr:col>
                <xdr:colOff>14</xdr:colOff>
                <xdr:row>41</xdr:row>
                <xdr:rowOff>10</xdr:rowOff>
              </xdr:from>
              <xdr:to>
                <xdr:col>4</xdr:col>
                <xdr:colOff>-38</xdr:colOff>
                <xdr:row>45</xdr:row>
                <xdr:rowOff>9</xdr:rowOff>
              </xdr:to>
            </anchor>
          </commentPr>
        </mc:Choice>
        <mc:Fallback/>
      </mc:AlternateContent>
    </comment>
    <comment ref="C51" authorId="0">
      <text>
        <r>
          <rPr>
            <sz val="10"/>
            <rFont val="Noto Sans"/>
            <family val="2"/>
          </rPr>
          <t xml:space="preserve">Nel terzo trimestre del 2009 in Germania si registra una variazione dell'ordine di 10,97% 
</t>
        </r>
      </text>
      <mc:AlternateContent>
        <mc:Choice Requires="v2">
          <commentPr autoFill="true" autoScale="false" colHidden="false" locked="false" rowHidden="false" textHAlign="justify" textVAlign="top">
            <anchor moveWithCells="false" sizeWithCells="false">
              <xdr:from>
                <xdr:col>3</xdr:col>
                <xdr:colOff>14</xdr:colOff>
                <xdr:row>49</xdr:row>
                <xdr:rowOff>10</xdr:rowOff>
              </xdr:from>
              <xdr:to>
                <xdr:col>4</xdr:col>
                <xdr:colOff>-38</xdr:colOff>
                <xdr:row>53</xdr:row>
                <xdr:rowOff>9</xdr:rowOff>
              </xdr:to>
            </anchor>
          </commentPr>
        </mc:Choice>
        <mc:Fallback/>
      </mc:AlternateContent>
    </comment>
    <comment ref="C93" authorId="0">
      <text>
        <r>
          <rPr>
            <sz val="10"/>
            <rFont val="Noto Sans"/>
            <family val="2"/>
          </rPr>
          <t xml:space="preserve">Il trend di prima approssimazione permette di stimare la variazione media di una determinata serie temporale. La tecnica delle medie mobili consiste nel calcolare una serie di medie, con un intervallo temporale specifico.
</t>
        </r>
      </text>
      <mc:AlternateContent>
        <mc:Choice Requires="v2">
          <commentPr autoFill="true" autoScale="false" colHidden="false" locked="false" rowHidden="false" textHAlign="justify" textVAlign="top">
            <anchor moveWithCells="false" sizeWithCells="false">
              <xdr:from>
                <xdr:col>3</xdr:col>
                <xdr:colOff>14</xdr:colOff>
                <xdr:row>91</xdr:row>
                <xdr:rowOff>10</xdr:rowOff>
              </xdr:from>
              <xdr:to>
                <xdr:col>4</xdr:col>
                <xdr:colOff>61</xdr:colOff>
                <xdr:row>99</xdr:row>
                <xdr:rowOff>6</xdr:rowOff>
              </xdr:to>
            </anchor>
          </commentPr>
        </mc:Choice>
        <mc:Fallback/>
      </mc:AlternateContent>
    </comment>
    <comment ref="C94" authorId="0">
      <text>
        <r>
          <rPr>
            <sz val="10"/>
            <rFont val="Noto Sans"/>
            <family val="2"/>
          </rPr>
          <t xml:space="preserve">Questa media mobile prende come periodo di osservazione il primo periodo: primo trimestre del 2007 all'ultimo trimestre dello stesso anno più l'inizio del periodo successivo. 
</t>
        </r>
      </text>
      <mc:AlternateContent>
        <mc:Choice Requires="v2">
          <commentPr autoFill="true" autoScale="false" colHidden="false" locked="false" rowHidden="false" textHAlign="justify" textVAlign="top">
            <anchor moveWithCells="false" sizeWithCells="false">
              <xdr:from>
                <xdr:col>3</xdr:col>
                <xdr:colOff>14</xdr:colOff>
                <xdr:row>92</xdr:row>
                <xdr:rowOff>8</xdr:rowOff>
              </xdr:from>
              <xdr:to>
                <xdr:col>4</xdr:col>
                <xdr:colOff>39</xdr:colOff>
                <xdr:row>100</xdr:row>
                <xdr:rowOff>11</xdr:rowOff>
              </xdr:to>
            </anchor>
          </commentPr>
        </mc:Choice>
        <mc:Fallback/>
      </mc:AlternateContent>
    </comment>
    <comment ref="D2" authorId="0">
      <text>
        <r>
          <rPr>
            <sz val="10"/>
            <rFont val="Noto Sans"/>
            <family val="2"/>
          </rPr>
          <t xml:space="preserve">L’analisi qui presentata si concentra sull’andamento del debito pubblico trimestrale in Europa nel periodo compreso tra il 2007 e il 2010. Per l'analisi abbiamo riportato tra i paesi Germania, Spagna, Francia, Italia e Lussemburgo.
Il periodo in esame è particolarmente rilevante poiché include l’impatto della crisi finanziaria globale del 2008; l’analisi mira a valutare le variazioni del debito pubblico, espresse in milioni di euro, per osservare le dinamiche principali e comprendere i fattori sottostanti all’evoluzione del debito nei diversi trimestri.</t>
        </r>
      </text>
      <mc:AlternateContent>
        <mc:Choice Requires="v2">
          <commentPr autoFill="true" autoScale="false" colHidden="false" locked="false" rowHidden="false" textHAlign="justify" textVAlign="top">
            <anchor moveWithCells="false" sizeWithCells="false">
              <xdr:from>
                <xdr:col>3</xdr:col>
                <xdr:colOff>125</xdr:colOff>
                <xdr:row>2</xdr:row>
                <xdr:rowOff>0</xdr:rowOff>
              </xdr:from>
              <xdr:to>
                <xdr:col>6</xdr:col>
                <xdr:colOff>71</xdr:colOff>
                <xdr:row>13</xdr:row>
                <xdr:rowOff>8</xdr:rowOff>
              </xdr:to>
            </anchor>
          </commentPr>
        </mc:Choice>
        <mc:Fallback/>
      </mc:AlternateContent>
    </comment>
    <comment ref="D19" authorId="0">
      <text>
        <r>
          <rPr>
            <sz val="10"/>
            <rFont val="Noto Sans"/>
            <family val="2"/>
          </rPr>
          <t xml:space="preserve">La Spagna e l'Italia saranno tra i Paesi che richiederanno più prestiti per rialzarsi dalla crisi. 
</t>
        </r>
      </text>
      <mc:AlternateContent>
        <mc:Choice Requires="v2">
          <commentPr autoFill="true" autoScale="false" colHidden="false" locked="false" rowHidden="false" textHAlign="justify" textVAlign="top">
            <anchor moveWithCells="false" sizeWithCells="false">
              <xdr:from>
                <xdr:col>4</xdr:col>
                <xdr:colOff>14</xdr:colOff>
                <xdr:row>17</xdr:row>
                <xdr:rowOff>8</xdr:rowOff>
              </xdr:from>
              <xdr:to>
                <xdr:col>5</xdr:col>
                <xdr:colOff>32</xdr:colOff>
                <xdr:row>21</xdr:row>
                <xdr:rowOff>8</xdr:rowOff>
              </xdr:to>
            </anchor>
          </commentPr>
        </mc:Choice>
        <mc:Fallback/>
      </mc:AlternateContent>
    </comment>
    <comment ref="D43" authorId="0">
      <text>
        <r>
          <rPr>
            <sz val="10"/>
            <rFont val="Noto Sans"/>
            <family val="2"/>
          </rPr>
          <t xml:space="preserve">Nel terzo trimestre del 2007 si registra una variazione di 1,87% inferiore rispetto al valore del periodo base 
</t>
        </r>
      </text>
      <mc:AlternateContent>
        <mc:Choice Requires="v2">
          <commentPr autoFill="true" autoScale="false" colHidden="false" locked="false" rowHidden="false" textHAlign="justify" textVAlign="top">
            <anchor moveWithCells="false" sizeWithCells="false">
              <xdr:from>
                <xdr:col>4</xdr:col>
                <xdr:colOff>14</xdr:colOff>
                <xdr:row>41</xdr:row>
                <xdr:rowOff>10</xdr:rowOff>
              </xdr:from>
              <xdr:to>
                <xdr:col>5</xdr:col>
                <xdr:colOff>32</xdr:colOff>
                <xdr:row>45</xdr:row>
                <xdr:rowOff>9</xdr:rowOff>
              </xdr:to>
            </anchor>
          </commentPr>
        </mc:Choice>
        <mc:Fallback/>
      </mc:AlternateContent>
    </comment>
    <comment ref="D46" authorId="0">
      <text>
        <r>
          <rPr>
            <sz val="10"/>
            <rFont val="Noto Sans"/>
            <family val="2"/>
          </rPr>
          <t xml:space="preserve">Nel secondo trimestre del 2009 si registra una variazione di 2,03% inferiore 
</t>
        </r>
      </text>
      <mc:AlternateContent>
        <mc:Choice Requires="v2">
          <commentPr autoFill="true" autoScale="false" colHidden="false" locked="false" rowHidden="false" textHAlign="justify" textVAlign="top">
            <anchor moveWithCells="false" sizeWithCells="false">
              <xdr:from>
                <xdr:col>4</xdr:col>
                <xdr:colOff>14</xdr:colOff>
                <xdr:row>44</xdr:row>
                <xdr:rowOff>10</xdr:rowOff>
              </xdr:from>
              <xdr:to>
                <xdr:col>5</xdr:col>
                <xdr:colOff>32</xdr:colOff>
                <xdr:row>48</xdr:row>
                <xdr:rowOff>9</xdr:rowOff>
              </xdr:to>
            </anchor>
          </commentPr>
        </mc:Choice>
        <mc:Fallback/>
      </mc:AlternateContent>
    </comment>
    <comment ref="D49" authorId="0">
      <text>
        <r>
          <rPr>
            <sz val="10"/>
            <rFont val="Noto Sans"/>
            <family val="2"/>
          </rPr>
          <t xml:space="preserve">Nel primo trimestre del 2009 si registra una variazione dell'ordine di 18,80% rispetto ai periodi precedenti 
</t>
        </r>
      </text>
      <mc:AlternateContent>
        <mc:Choice Requires="v2">
          <commentPr autoFill="true" autoScale="false" colHidden="false" locked="false" rowHidden="false" textHAlign="justify" textVAlign="top">
            <anchor moveWithCells="false" sizeWithCells="false">
              <xdr:from>
                <xdr:col>4</xdr:col>
                <xdr:colOff>14</xdr:colOff>
                <xdr:row>47</xdr:row>
                <xdr:rowOff>10</xdr:rowOff>
              </xdr:from>
              <xdr:to>
                <xdr:col>5</xdr:col>
                <xdr:colOff>32</xdr:colOff>
                <xdr:row>51</xdr:row>
                <xdr:rowOff>9</xdr:rowOff>
              </xdr:to>
            </anchor>
          </commentPr>
        </mc:Choice>
        <mc:Fallback/>
      </mc:AlternateContent>
    </comment>
    <comment ref="D93" authorId="0">
      <text>
        <r>
          <rPr>
            <sz val="10"/>
            <rFont val="Noto Sans"/>
            <family val="2"/>
          </rPr>
          <t xml:space="preserve">La stima della componente stagionale ed erratica in una serie temporale fa riferimento al processo di separazione e quantificazione delle fluttuazioni regolari e periodiche (stagionalità) e delle variazioni irregolari o casuali (componente erratica).</t>
        </r>
      </text>
      <mc:AlternateContent>
        <mc:Choice Requires="v2">
          <commentPr autoFill="true" autoScale="false" colHidden="false" locked="false" rowHidden="false" textHAlign="justify" textVAlign="top">
            <anchor moveWithCells="false" sizeWithCells="false">
              <xdr:from>
                <xdr:col>4</xdr:col>
                <xdr:colOff>14</xdr:colOff>
                <xdr:row>91</xdr:row>
                <xdr:rowOff>10</xdr:rowOff>
              </xdr:from>
              <xdr:to>
                <xdr:col>5</xdr:col>
                <xdr:colOff>104</xdr:colOff>
                <xdr:row>100</xdr:row>
                <xdr:rowOff>11</xdr:rowOff>
              </xdr:to>
            </anchor>
          </commentPr>
        </mc:Choice>
        <mc:Fallback/>
      </mc:AlternateContent>
    </comment>
    <comment ref="D94" authorId="0">
      <text>
        <r>
          <rPr>
            <sz val="10"/>
            <rFont val="Noto Sans"/>
            <family val="2"/>
          </rPr>
          <t xml:space="preserve">La componente erratica rappresenta le variazioni casuali e imprevedibili per la quale non è prevista un modello regolare né è prevedibile.
E data dalla differenza tra il dato osservato Yt e la variazione media di del periodo temporale preso in considerazione. 
Tale componente calcolato in relazione alle medie va a calcolare quanto è incline il periodo ad avere una ciclicità. 
</t>
        </r>
      </text>
      <mc:AlternateContent>
        <mc:Choice Requires="v2">
          <commentPr autoFill="true" autoScale="false" colHidden="false" locked="false" rowHidden="false" textHAlign="justify" textVAlign="top">
            <anchor moveWithCells="false" sizeWithCells="false">
              <xdr:from>
                <xdr:col>4</xdr:col>
                <xdr:colOff>14</xdr:colOff>
                <xdr:row>92</xdr:row>
                <xdr:rowOff>8</xdr:rowOff>
              </xdr:from>
              <xdr:to>
                <xdr:col>6</xdr:col>
                <xdr:colOff>41</xdr:colOff>
                <xdr:row>102</xdr:row>
                <xdr:rowOff>14</xdr:rowOff>
              </xdr:to>
            </anchor>
          </commentPr>
        </mc:Choice>
        <mc:Fallback/>
      </mc:AlternateContent>
    </comment>
    <comment ref="E46" authorId="0">
      <text>
        <r>
          <rPr>
            <sz val="10"/>
            <rFont val="Noto Sans"/>
            <family val="2"/>
          </rPr>
          <t xml:space="preserve">Nel secondo trimestre del 2008 la Francia ha registrano un aumento di 6,94%  
</t>
        </r>
      </text>
      <mc:AlternateContent>
        <mc:Choice Requires="v2">
          <commentPr autoFill="true" autoScale="false" colHidden="false" locked="false" rowHidden="false" textHAlign="justify" textVAlign="top">
            <anchor moveWithCells="false" sizeWithCells="false">
              <xdr:from>
                <xdr:col>5</xdr:col>
                <xdr:colOff>43</xdr:colOff>
                <xdr:row>44</xdr:row>
                <xdr:rowOff>10</xdr:rowOff>
              </xdr:from>
              <xdr:to>
                <xdr:col>6</xdr:col>
                <xdr:colOff>68</xdr:colOff>
                <xdr:row>48</xdr:row>
                <xdr:rowOff>9</xdr:rowOff>
              </xdr:to>
            </anchor>
          </commentPr>
        </mc:Choice>
        <mc:Fallback/>
      </mc:AlternateContent>
    </comment>
    <comment ref="E52" authorId="0">
      <text>
        <r>
          <rPr>
            <sz val="10"/>
            <rFont val="Noto Sans"/>
            <family val="2"/>
          </rPr>
          <t xml:space="preserve">Nel quarto trimestre del 2009 si è registrato una variazione del 30,74% 
</t>
        </r>
      </text>
      <mc:AlternateContent>
        <mc:Choice Requires="v2">
          <commentPr autoFill="true" autoScale="false" colHidden="false" locked="false" rowHidden="false" textHAlign="justify" textVAlign="top">
            <anchor moveWithCells="false" sizeWithCells="false">
              <xdr:from>
                <xdr:col>5</xdr:col>
                <xdr:colOff>43</xdr:colOff>
                <xdr:row>50</xdr:row>
                <xdr:rowOff>10</xdr:rowOff>
              </xdr:from>
              <xdr:to>
                <xdr:col>6</xdr:col>
                <xdr:colOff>68</xdr:colOff>
                <xdr:row>54</xdr:row>
                <xdr:rowOff>9</xdr:rowOff>
              </xdr:to>
            </anchor>
          </commentPr>
        </mc:Choice>
        <mc:Fallback/>
      </mc:AlternateContent>
    </comment>
    <comment ref="E93" authorId="0">
      <text>
        <r>
          <rPr>
            <sz val="10"/>
            <rFont val="Noto Sans"/>
            <family val="2"/>
          </rPr>
          <t xml:space="preserve">La componente stagionale rappresenta le fluttuazioni regolari e ripetitive in un determinato periodo di osservazione dovuti a componenti caratterizzanti.
</t>
        </r>
      </text>
      <mc:AlternateContent>
        <mc:Choice Requires="v2">
          <commentPr autoFill="true" autoScale="false" colHidden="false" locked="false" rowHidden="false" textHAlign="justify" textVAlign="top">
            <anchor moveWithCells="false" sizeWithCells="false">
              <xdr:from>
                <xdr:col>5</xdr:col>
                <xdr:colOff>43</xdr:colOff>
                <xdr:row>91</xdr:row>
                <xdr:rowOff>10</xdr:rowOff>
              </xdr:from>
              <xdr:to>
                <xdr:col>6</xdr:col>
                <xdr:colOff>68</xdr:colOff>
                <xdr:row>95</xdr:row>
                <xdr:rowOff>13</xdr:rowOff>
              </xdr:to>
            </anchor>
          </commentPr>
        </mc:Choice>
        <mc:Fallback/>
      </mc:AlternateContent>
    </comment>
    <comment ref="E94" authorId="0">
      <text>
        <r>
          <rPr>
            <sz val="10"/>
            <rFont val="Noto Sans"/>
            <family val="2"/>
          </rPr>
          <t xml:space="preserve">I dati riportati sono stati calcolati sulla base dei primi dati e mostrano la ciclicità con la quale il debito pubblico tende ad essere inferiore alla media annuale al netto del trend e delle variazioni casuali</t>
        </r>
      </text>
      <mc:AlternateContent>
        <mc:Choice Requires="v2">
          <commentPr autoFill="true" autoScale="false" colHidden="false" locked="false" rowHidden="false" textHAlign="justify" textVAlign="top">
            <anchor moveWithCells="false" sizeWithCells="false">
              <xdr:from>
                <xdr:col>5</xdr:col>
                <xdr:colOff>12</xdr:colOff>
                <xdr:row>92</xdr:row>
                <xdr:rowOff>12</xdr:rowOff>
              </xdr:from>
              <xdr:to>
                <xdr:col>6</xdr:col>
                <xdr:colOff>102</xdr:colOff>
                <xdr:row>101</xdr:row>
                <xdr:rowOff>6</xdr:rowOff>
              </xdr:to>
            </anchor>
          </commentPr>
        </mc:Choice>
        <mc:Fallback/>
      </mc:AlternateContent>
    </comment>
    <comment ref="E122" authorId="0">
      <text>
        <r>
          <rPr>
            <sz val="10"/>
            <rFont val="Noto Sans"/>
            <family val="2"/>
          </rPr>
          <t xml:space="preserve">Il debito pubblico ha registrato delle variazioni periodiche cicliche che si sono presentate per lo più entro gli stessi termini in maniera negativa
</t>
        </r>
      </text>
      <mc:AlternateContent>
        <mc:Choice Requires="v2">
          <commentPr autoFill="true" autoScale="false" colHidden="false" locked="false" rowHidden="false" textHAlign="justify" textVAlign="top">
            <anchor moveWithCells="false" sizeWithCells="false">
              <xdr:from>
                <xdr:col>5</xdr:col>
                <xdr:colOff>43</xdr:colOff>
                <xdr:row>120</xdr:row>
                <xdr:rowOff>14</xdr:rowOff>
              </xdr:from>
              <xdr:to>
                <xdr:col>6</xdr:col>
                <xdr:colOff>117</xdr:colOff>
                <xdr:row>131</xdr:row>
                <xdr:rowOff>0</xdr:rowOff>
              </xdr:to>
            </anchor>
          </commentPr>
        </mc:Choice>
        <mc:Fallback/>
      </mc:AlternateContent>
    </comment>
    <comment ref="E150" authorId="0">
      <text>
        <r>
          <rPr>
            <sz val="10"/>
            <rFont val="Noto Sans"/>
            <family val="2"/>
          </rPr>
          <t xml:space="preserve">Il debito pubblico ha registrato delle variazioni periodiche cicliche che si sono presentate per lo più entro gli stessi termini in maniera negativa
</t>
        </r>
      </text>
      <mc:AlternateContent>
        <mc:Choice Requires="v2">
          <commentPr autoFill="true" autoScale="false" colHidden="false" locked="false" rowHidden="false" textHAlign="justify" textVAlign="top">
            <anchor moveWithCells="false" sizeWithCells="false">
              <xdr:from>
                <xdr:col>5</xdr:col>
                <xdr:colOff>43</xdr:colOff>
                <xdr:row>153</xdr:row>
                <xdr:rowOff>2</xdr:rowOff>
              </xdr:from>
              <xdr:to>
                <xdr:col>6</xdr:col>
                <xdr:colOff>110</xdr:colOff>
                <xdr:row>163</xdr:row>
                <xdr:rowOff>9</xdr:rowOff>
              </xdr:to>
            </anchor>
          </commentPr>
        </mc:Choice>
        <mc:Fallback/>
      </mc:AlternateContent>
    </comment>
    <comment ref="E178" authorId="0">
      <text>
        <r>
          <rPr>
            <sz val="10"/>
            <rFont val="Noto Sans"/>
            <family val="2"/>
          </rPr>
          <t xml:space="preserve">Il debito pubblico ha registrato delle variazioni periodiche cicliche che si sono presentate per lo più entro gli stessi termini in maniera negativa
</t>
        </r>
      </text>
      <mc:AlternateContent>
        <mc:Choice Requires="v2">
          <commentPr autoFill="true" autoScale="false" colHidden="false" locked="false" rowHidden="false" textHAlign="justify" textVAlign="top">
            <anchor moveWithCells="false" sizeWithCells="false">
              <xdr:from>
                <xdr:col>5</xdr:col>
                <xdr:colOff>43</xdr:colOff>
                <xdr:row>184</xdr:row>
                <xdr:rowOff>20</xdr:rowOff>
              </xdr:from>
              <xdr:to>
                <xdr:col>6</xdr:col>
                <xdr:colOff>110</xdr:colOff>
                <xdr:row>190</xdr:row>
                <xdr:rowOff>15</xdr:rowOff>
              </xdr:to>
            </anchor>
          </commentPr>
        </mc:Choice>
        <mc:Fallback/>
      </mc:AlternateContent>
    </comment>
    <comment ref="E206" authorId="0">
      <text>
        <r>
          <rPr>
            <sz val="10"/>
            <rFont val="Noto Sans"/>
            <family val="2"/>
          </rPr>
          <t xml:space="preserve">Il debito pubblico ha registrato delle variazioni periodiche cicliche che si sono presentate per lo più entro gli stessi termini in maniera negativa
</t>
        </r>
      </text>
      <mc:AlternateContent>
        <mc:Choice Requires="v2">
          <commentPr autoFill="true" autoScale="false" colHidden="false" locked="false" rowHidden="false" textHAlign="justify" textVAlign="top">
            <anchor moveWithCells="false" sizeWithCells="false">
              <xdr:from>
                <xdr:col>5</xdr:col>
                <xdr:colOff>43</xdr:colOff>
                <xdr:row>213</xdr:row>
                <xdr:rowOff>9</xdr:rowOff>
              </xdr:from>
              <xdr:to>
                <xdr:col>6</xdr:col>
                <xdr:colOff>104</xdr:colOff>
                <xdr:row>223</xdr:row>
                <xdr:rowOff>8</xdr:rowOff>
              </xdr:to>
            </anchor>
          </commentPr>
        </mc:Choice>
        <mc:Fallback/>
      </mc:AlternateContent>
    </comment>
    <comment ref="E234" authorId="0">
      <text>
        <r>
          <rPr>
            <sz val="10"/>
            <rFont val="Noto Sans"/>
            <family val="2"/>
          </rPr>
          <t xml:space="preserve">Il debito pubblico ha registrato delle variazioni periodiche cicliche che si sono presentate per lo più entro gli stessi termini in maniera negativa</t>
        </r>
      </text>
      <mc:AlternateContent>
        <mc:Choice Requires="v2">
          <commentPr autoFill="true" autoScale="false" colHidden="false" locked="false" rowHidden="false" textHAlign="justify" textVAlign="top">
            <anchor moveWithCells="false" sizeWithCells="false">
              <xdr:from>
                <xdr:col>5</xdr:col>
                <xdr:colOff>43</xdr:colOff>
                <xdr:row>245</xdr:row>
                <xdr:rowOff>18</xdr:rowOff>
              </xdr:from>
              <xdr:to>
                <xdr:col>6</xdr:col>
                <xdr:colOff>114</xdr:colOff>
                <xdr:row>256</xdr:row>
                <xdr:rowOff>11</xdr:rowOff>
              </xdr:to>
            </anchor>
          </commentPr>
        </mc:Choice>
        <mc:Fallback/>
      </mc:AlternateContent>
    </comment>
    <comment ref="F44" authorId="0">
      <text>
        <r>
          <rPr>
            <sz val="10"/>
            <rFont val="Noto Sans"/>
            <family val="2"/>
          </rPr>
          <t xml:space="preserve">Nell'ultimo trimestre del 2007 si registra un variazione percentuale di 0,54 % inferiore  
</t>
        </r>
      </text>
      <mc:AlternateContent>
        <mc:Choice Requires="v2">
          <commentPr autoFill="true" autoScale="false" colHidden="false" locked="false" rowHidden="false" textHAlign="justify" textVAlign="top">
            <anchor moveWithCells="false" sizeWithCells="false">
              <xdr:from>
                <xdr:col>6</xdr:col>
                <xdr:colOff>44</xdr:colOff>
                <xdr:row>42</xdr:row>
                <xdr:rowOff>10</xdr:rowOff>
              </xdr:from>
              <xdr:to>
                <xdr:col>7</xdr:col>
                <xdr:colOff>62</xdr:colOff>
                <xdr:row>46</xdr:row>
                <xdr:rowOff>16</xdr:rowOff>
              </xdr:to>
            </anchor>
          </commentPr>
        </mc:Choice>
        <mc:Fallback/>
      </mc:AlternateContent>
    </comment>
    <comment ref="F49" authorId="0">
      <text>
        <r>
          <rPr>
            <sz val="10"/>
            <rFont val="Noto Sans"/>
            <family val="2"/>
          </rPr>
          <t xml:space="preserve">Nel primo trimestre del 2009 si è registrata una variazione di 7,74% </t>
        </r>
      </text>
      <mc:AlternateContent>
        <mc:Choice Requires="v2">
          <commentPr autoFill="true" autoScale="false" colHidden="false" locked="false" rowHidden="false" textHAlign="justify" textVAlign="top">
            <anchor moveWithCells="false" sizeWithCells="false">
              <xdr:from>
                <xdr:col>6</xdr:col>
                <xdr:colOff>44</xdr:colOff>
                <xdr:row>47</xdr:row>
                <xdr:rowOff>10</xdr:rowOff>
              </xdr:from>
              <xdr:to>
                <xdr:col>7</xdr:col>
                <xdr:colOff>74</xdr:colOff>
                <xdr:row>51</xdr:row>
                <xdr:rowOff>9</xdr:rowOff>
              </xdr:to>
            </anchor>
          </commentPr>
        </mc:Choice>
        <mc:Fallback/>
      </mc:AlternateContent>
    </comment>
    <comment ref="F93" authorId="0">
      <text>
        <r>
          <rPr>
            <sz val="10"/>
            <rFont val="Noto Sans"/>
            <family val="2"/>
          </rPr>
          <t xml:space="preserve">la destagionalizzazione viene utilizzata  per rimuovere l'effetto delle fluttuazioni stagionali dai dati temporali, rendendo più chiara l'osservazione delle tendenze sottostanti e dei cicli economici.
Esso ci permette di studiare il trend, la direzione generale del dato nel tempo (es. crescita o declino) e le fluttuazioni che dipendono da fattori (es. recessioni o espansioni). 
</t>
        </r>
      </text>
      <mc:AlternateContent>
        <mc:Choice Requires="v2">
          <commentPr autoFill="true" autoScale="false" colHidden="false" locked="false" rowHidden="false" textHAlign="justify" textVAlign="top">
            <anchor moveWithCells="false" sizeWithCells="false">
              <xdr:from>
                <xdr:col>6</xdr:col>
                <xdr:colOff>44</xdr:colOff>
                <xdr:row>91</xdr:row>
                <xdr:rowOff>10</xdr:rowOff>
              </xdr:from>
              <xdr:to>
                <xdr:col>8</xdr:col>
                <xdr:colOff>74</xdr:colOff>
                <xdr:row>103</xdr:row>
                <xdr:rowOff>12</xdr:rowOff>
              </xdr:to>
            </anchor>
          </commentPr>
        </mc:Choice>
        <mc:Fallback/>
      </mc:AlternateContent>
    </comment>
    <comment ref="F97" authorId="0">
      <text>
        <r>
          <rPr>
            <sz val="10"/>
            <rFont val="Noto Sans"/>
            <family val="2"/>
          </rPr>
          <t xml:space="preserve">Possiamo osservare un leggero declino del debito pubblico dovuto a diversi fattori che hanno interessato i mesi di ottobre, novembre e dicembre del 2007. 
</t>
        </r>
      </text>
      <mc:AlternateContent>
        <mc:Choice Requires="v2">
          <commentPr autoFill="true" autoScale="false" colHidden="false" locked="false" rowHidden="false" textHAlign="justify" textVAlign="top">
            <anchor moveWithCells="false" sizeWithCells="false">
              <xdr:from>
                <xdr:col>6</xdr:col>
                <xdr:colOff>44</xdr:colOff>
                <xdr:row>95</xdr:row>
                <xdr:rowOff>12</xdr:rowOff>
              </xdr:from>
              <xdr:to>
                <xdr:col>8</xdr:col>
                <xdr:colOff>5</xdr:colOff>
                <xdr:row>102</xdr:row>
                <xdr:rowOff>18</xdr:rowOff>
              </xdr:to>
            </anchor>
          </commentPr>
        </mc:Choice>
        <mc:Fallback/>
      </mc:AlternateContent>
    </comment>
    <comment ref="F102" authorId="0">
      <text>
        <r>
          <rPr>
            <sz val="10"/>
            <rFont val="Noto Sans"/>
            <family val="2"/>
          </rPr>
          <t xml:space="preserve">Nel primo trimestre dell'anno 2009 osserviamo un aumento della spesa pubblica superiori alle osservazioni precedenti; in quel momento storico la crisi stava iniziando a diffondersi sempre di più nell'Europa. 
</t>
        </r>
      </text>
      <mc:AlternateContent>
        <mc:Choice Requires="v2">
          <commentPr autoFill="true" autoScale="false" colHidden="false" locked="false" rowHidden="false" textHAlign="justify" textVAlign="top">
            <anchor moveWithCells="false" sizeWithCells="false">
              <xdr:from>
                <xdr:col>6</xdr:col>
                <xdr:colOff>44</xdr:colOff>
                <xdr:row>100</xdr:row>
                <xdr:rowOff>10</xdr:rowOff>
              </xdr:from>
              <xdr:to>
                <xdr:col>8</xdr:col>
                <xdr:colOff>12</xdr:colOff>
                <xdr:row>108</xdr:row>
                <xdr:rowOff>12</xdr:rowOff>
              </xdr:to>
            </anchor>
          </commentPr>
        </mc:Choice>
        <mc:Fallback/>
      </mc:AlternateContent>
    </comment>
    <comment ref="F125" authorId="0">
      <text>
        <r>
          <rPr>
            <sz val="10"/>
            <rFont val="Noto Sans"/>
            <family val="2"/>
          </rPr>
          <t xml:space="preserve">Nell'ultimo trimestre del 2007 osserviamo una diminuzione del debito pubblico </t>
        </r>
      </text>
      <mc:AlternateContent>
        <mc:Choice Requires="v2">
          <commentPr autoFill="true" autoScale="false" colHidden="false" locked="false" rowHidden="false" textHAlign="justify" textVAlign="top">
            <anchor moveWithCells="false" sizeWithCells="false">
              <xdr:from>
                <xdr:col>6</xdr:col>
                <xdr:colOff>44</xdr:colOff>
                <xdr:row>127</xdr:row>
                <xdr:rowOff>17</xdr:rowOff>
              </xdr:from>
              <xdr:to>
                <xdr:col>7</xdr:col>
                <xdr:colOff>74</xdr:colOff>
                <xdr:row>131</xdr:row>
                <xdr:rowOff>15</xdr:rowOff>
              </xdr:to>
            </anchor>
          </commentPr>
        </mc:Choice>
        <mc:Fallback/>
      </mc:AlternateContent>
    </comment>
    <comment ref="F130" authorId="0">
      <text>
        <r>
          <rPr>
            <sz val="10"/>
            <rFont val="Noto Sans"/>
            <family val="2"/>
          </rPr>
          <t xml:space="preserve">Nel primo trimestre del 2009 il debito pubblico risulta essere  superiore; così per i primi trimestri relativi agli anni di riferimento di ogni arco temporale analizzato</t>
        </r>
      </text>
      <mc:AlternateContent>
        <mc:Choice Requires="v2">
          <commentPr autoFill="true" autoScale="false" colHidden="false" locked="false" rowHidden="false" textHAlign="justify" textVAlign="top">
            <anchor moveWithCells="false" sizeWithCells="false">
              <xdr:from>
                <xdr:col>6</xdr:col>
                <xdr:colOff>30</xdr:colOff>
                <xdr:row>132</xdr:row>
                <xdr:rowOff>19</xdr:rowOff>
              </xdr:from>
              <xdr:to>
                <xdr:col>7</xdr:col>
                <xdr:colOff>118</xdr:colOff>
                <xdr:row>139</xdr:row>
                <xdr:rowOff>15</xdr:rowOff>
              </xdr:to>
            </anchor>
          </commentPr>
        </mc:Choice>
        <mc:Fallback/>
      </mc:AlternateContent>
    </comment>
    <comment ref="F161" authorId="0">
      <text>
        <r>
          <rPr>
            <sz val="10"/>
            <rFont val="Noto Sans"/>
            <family val="2"/>
          </rPr>
          <t xml:space="preserve">Nell'ultimo trimestre del 2009 registriamo un aumento del debito pubblico rispetto alle osservazioni precedenti</t>
        </r>
      </text>
      <mc:AlternateContent>
        <mc:Choice Requires="v2">
          <commentPr autoFill="true" autoScale="false" colHidden="false" locked="false" rowHidden="false" textHAlign="justify" textVAlign="top">
            <anchor moveWithCells="false" sizeWithCells="false">
              <xdr:from>
                <xdr:col>6</xdr:col>
                <xdr:colOff>44</xdr:colOff>
                <xdr:row>168</xdr:row>
                <xdr:rowOff>9</xdr:rowOff>
              </xdr:from>
              <xdr:to>
                <xdr:col>7</xdr:col>
                <xdr:colOff>99</xdr:colOff>
                <xdr:row>174</xdr:row>
                <xdr:rowOff>2</xdr:rowOff>
              </xdr:to>
            </anchor>
          </commentPr>
        </mc:Choice>
        <mc:Fallback/>
      </mc:AlternateContent>
    </comment>
    <comment ref="F185" authorId="0">
      <text>
        <r>
          <rPr>
            <sz val="10"/>
            <rFont val="Noto Sans"/>
            <family val="2"/>
          </rPr>
          <t xml:space="preserve">Destagionalizzando i dati osserviamo che il debito pubblico tende ad aumentare negli anni 2009 e 2010
</t>
        </r>
      </text>
      <mc:AlternateContent>
        <mc:Choice Requires="v2">
          <commentPr autoFill="true" autoScale="false" colHidden="false" locked="false" rowHidden="false" textHAlign="justify" textVAlign="top">
            <anchor moveWithCells="false" sizeWithCells="false">
              <xdr:from>
                <xdr:col>6</xdr:col>
                <xdr:colOff>44</xdr:colOff>
                <xdr:row>192</xdr:row>
                <xdr:rowOff>4</xdr:rowOff>
              </xdr:from>
              <xdr:to>
                <xdr:col>7</xdr:col>
                <xdr:colOff>83</xdr:colOff>
                <xdr:row>197</xdr:row>
                <xdr:rowOff>17</xdr:rowOff>
              </xdr:to>
            </anchor>
          </commentPr>
        </mc:Choice>
        <mc:Fallback/>
      </mc:AlternateContent>
    </comment>
    <comment ref="F216" authorId="0">
      <text>
        <r>
          <rPr>
            <sz val="10"/>
            <rFont val="Noto Sans"/>
            <family val="2"/>
          </rPr>
          <t xml:space="preserve">Nel terzo trimestre del 2009 osserviamo che il debito pubblico risulta maggiore rispetto al periodo iniziale preso in considerazione con aumenti significativi soprattutto nel 2010</t>
        </r>
      </text>
      <mc:AlternateContent>
        <mc:Choice Requires="v2">
          <commentPr autoFill="true" autoScale="false" colHidden="false" locked="false" rowHidden="false" textHAlign="justify" textVAlign="top">
            <anchor moveWithCells="false" sizeWithCells="false">
              <xdr:from>
                <xdr:col>6</xdr:col>
                <xdr:colOff>44</xdr:colOff>
                <xdr:row>227</xdr:row>
                <xdr:rowOff>16</xdr:rowOff>
              </xdr:from>
              <xdr:to>
                <xdr:col>8</xdr:col>
                <xdr:colOff>5</xdr:colOff>
                <xdr:row>234</xdr:row>
                <xdr:rowOff>11</xdr:rowOff>
              </xdr:to>
            </anchor>
          </commentPr>
        </mc:Choice>
        <mc:Fallback/>
      </mc:AlternateContent>
    </comment>
    <comment ref="F248" authorId="0">
      <text>
        <r>
          <rPr>
            <sz val="10"/>
            <rFont val="Noto Sans"/>
            <family val="2"/>
          </rPr>
          <t xml:space="preserve">Nel terzo trimestre del 2010 osserviamo un aumento del debito pubblico rispetto ai periodi di osservazione precedente</t>
        </r>
      </text>
      <mc:AlternateContent>
        <mc:Choice Requires="v2">
          <commentPr autoFill="true" autoScale="false" colHidden="false" locked="false" rowHidden="false" textHAlign="justify" textVAlign="top">
            <anchor moveWithCells="false" sizeWithCells="false">
              <xdr:from>
                <xdr:col>6</xdr:col>
                <xdr:colOff>44</xdr:colOff>
                <xdr:row>264</xdr:row>
                <xdr:rowOff>11</xdr:rowOff>
              </xdr:from>
              <xdr:to>
                <xdr:col>7</xdr:col>
                <xdr:colOff>109</xdr:colOff>
                <xdr:row>271</xdr:row>
                <xdr:rowOff>12</xdr:rowOff>
              </xdr:to>
            </anchor>
          </commentPr>
        </mc:Choice>
        <mc:Fallback/>
      </mc:AlternateContent>
    </comment>
    <comment ref="G47" authorId="1">
      <text>
        <r>
          <rPr>
            <sz val="10"/>
            <rFont val="Noto Sans"/>
            <family val="2"/>
          </rPr>
          <t xml:space="preserve">Dal terzo trimestre del 2008 si registra una variaizone positiva del debito pubblico dell'ordine di 17,09%</t>
        </r>
      </text>
      <mc:AlternateContent>
        <mc:Choice Requires="v2">
          <commentPr autoFill="true" autoScale="false" colHidden="false" locked="false" rowHidden="false" textHAlign="justify" textVAlign="top">
            <anchor moveWithCells="false" sizeWithCells="false">
              <xdr:from>
                <xdr:col>7</xdr:col>
                <xdr:colOff>30</xdr:colOff>
                <xdr:row>45</xdr:row>
                <xdr:rowOff>11</xdr:rowOff>
              </xdr:from>
              <xdr:to>
                <xdr:col>8</xdr:col>
                <xdr:colOff>47</xdr:colOff>
                <xdr:row>49</xdr:row>
                <xdr:rowOff>15</xdr:rowOff>
              </xdr:to>
            </anchor>
          </commentPr>
        </mc:Choice>
        <mc:Fallback/>
      </mc:AlternateContent>
    </comment>
    <comment ref="G93" authorId="0">
      <text>
        <r>
          <rPr>
            <sz val="10"/>
            <rFont val="Noto Sans"/>
            <family val="2"/>
          </rPr>
          <t xml:space="preserve">La media centrata a 3 termini calcola la media dei valori di un dato punto temporale considerando anche il valore precedente e quello successivo
</t>
        </r>
      </text>
      <mc:AlternateContent>
        <mc:Choice Requires="v2">
          <commentPr autoFill="true" autoScale="false" colHidden="false" locked="false" rowHidden="false" textHAlign="justify" textVAlign="top">
            <anchor moveWithCells="false" sizeWithCells="false">
              <xdr:from>
                <xdr:col>7</xdr:col>
                <xdr:colOff>44</xdr:colOff>
                <xdr:row>91</xdr:row>
                <xdr:rowOff>10</xdr:rowOff>
              </xdr:from>
              <xdr:to>
                <xdr:col>8</xdr:col>
                <xdr:colOff>100</xdr:colOff>
                <xdr:row>99</xdr:row>
                <xdr:rowOff>14</xdr:rowOff>
              </xdr:to>
            </anchor>
          </commentPr>
        </mc:Choice>
        <mc:Fallback/>
      </mc:AlternateContent>
    </comment>
    <comment ref="G103" authorId="0">
      <text>
        <r>
          <rPr>
            <sz val="10"/>
            <rFont val="Noto Sans"/>
            <family val="2"/>
          </rPr>
          <t xml:space="preserve">Nel secondo trimestre del 2009 osserviamo una variazione positiva che nel complesso fa riferimento ad una serie di variabili che hanno influenzato in maniera positiva il debito pubblico, comportando cioè un aumento delle spese pubbliche. 
</t>
        </r>
      </text>
      <mc:AlternateContent>
        <mc:Choice Requires="v2">
          <commentPr autoFill="true" autoScale="false" colHidden="false" locked="false" rowHidden="false" textHAlign="justify" textVAlign="top">
            <anchor moveWithCells="false" sizeWithCells="false">
              <xdr:from>
                <xdr:col>7</xdr:col>
                <xdr:colOff>44</xdr:colOff>
                <xdr:row>102</xdr:row>
                <xdr:rowOff>1</xdr:rowOff>
              </xdr:from>
              <xdr:to>
                <xdr:col>8</xdr:col>
                <xdr:colOff>164</xdr:colOff>
                <xdr:row>110</xdr:row>
                <xdr:rowOff>13</xdr:rowOff>
              </xdr:to>
            </anchor>
          </commentPr>
        </mc:Choice>
        <mc:Fallback/>
      </mc:AlternateContent>
    </comment>
    <comment ref="G135" authorId="0">
      <text>
        <r>
          <rPr>
            <sz val="10"/>
            <rFont val="Noto Sans"/>
            <family val="2"/>
          </rPr>
          <t xml:space="preserve">Nel secondo trimestre del 2010 osserviamo una variazione mediamente positiva del debito pubblico </t>
        </r>
      </text>
      <mc:AlternateContent>
        <mc:Choice Requires="v2">
          <commentPr autoFill="true" autoScale="false" colHidden="false" locked="false" rowHidden="false" textHAlign="justify" textVAlign="top">
            <anchor moveWithCells="false" sizeWithCells="false">
              <xdr:from>
                <xdr:col>7</xdr:col>
                <xdr:colOff>44</xdr:colOff>
                <xdr:row>138</xdr:row>
                <xdr:rowOff>1</xdr:rowOff>
              </xdr:from>
              <xdr:to>
                <xdr:col>8</xdr:col>
                <xdr:colOff>74</xdr:colOff>
                <xdr:row>142</xdr:row>
                <xdr:rowOff>2</xdr:rowOff>
              </xdr:to>
            </anchor>
          </commentPr>
        </mc:Choice>
        <mc:Fallback/>
      </mc:AlternateContent>
    </comment>
    <comment ref="G164" authorId="0">
      <text>
        <r>
          <rPr>
            <sz val="10"/>
            <rFont val="Noto Sans"/>
            <family val="2"/>
          </rPr>
          <t xml:space="preserve">Nel 3° trimestre del 2010 osserviamo una variazione positiva del debito pubblico in relazione al periodo precedente 
</t>
        </r>
      </text>
      <mc:AlternateContent>
        <mc:Choice Requires="v2">
          <commentPr autoFill="true" autoScale="false" colHidden="false" locked="false" rowHidden="false" textHAlign="justify" textVAlign="top">
            <anchor moveWithCells="false" sizeWithCells="false">
              <xdr:from>
                <xdr:col>7</xdr:col>
                <xdr:colOff>44</xdr:colOff>
                <xdr:row>171</xdr:row>
                <xdr:rowOff>15</xdr:rowOff>
              </xdr:from>
              <xdr:to>
                <xdr:col>8</xdr:col>
                <xdr:colOff>106</xdr:colOff>
                <xdr:row>177</xdr:row>
                <xdr:rowOff>21</xdr:rowOff>
              </xdr:to>
            </anchor>
          </commentPr>
        </mc:Choice>
        <mc:Fallback/>
      </mc:AlternateContent>
    </comment>
    <comment ref="H93" authorId="0">
      <text>
        <r>
          <rPr>
            <sz val="10"/>
            <rFont val="Noto Sans"/>
            <family val="2"/>
          </rPr>
          <t xml:space="preserve">Somma della stagionalità e del trend-ciclo essa indica la serie stimata e permette di osservare i dati senza considerare il rumore, inteso come variazioni casuali o non prevedibili. 							
</t>
        </r>
      </text>
      <mc:AlternateContent>
        <mc:Choice Requires="v2">
          <commentPr autoFill="true" autoScale="false" colHidden="false" locked="false" rowHidden="false" textHAlign="justify" textVAlign="top">
            <anchor moveWithCells="false" sizeWithCells="false">
              <xdr:from>
                <xdr:col>8</xdr:col>
                <xdr:colOff>44</xdr:colOff>
                <xdr:row>91</xdr:row>
                <xdr:rowOff>10</xdr:rowOff>
              </xdr:from>
              <xdr:to>
                <xdr:col>9</xdr:col>
                <xdr:colOff>1</xdr:colOff>
                <xdr:row>95</xdr:row>
                <xdr:rowOff>13</xdr:rowOff>
              </xdr:to>
            </anchor>
          </commentPr>
        </mc:Choice>
        <mc:Fallback/>
      </mc:AlternateContent>
    </comment>
    <comment ref="I21" authorId="0">
      <text>
        <r>
          <rPr>
            <sz val="10"/>
            <rFont val="Noto Sans"/>
            <family val="2"/>
          </rPr>
          <t xml:space="preserve">Molti Paesi hanno adottato piani di salvataggio per le istituzioni finanziarie in difficoltà e sono stati creati strumenti come il Fondo europeo di stabilità finanziaria e il Meccanismo europeo di salvataggio per sostenere i Paesi in difficoltà con prestiti agevolati, con sede entrambi a Lussemburgo. 
Dal momento in cui uno Stato membro della zona euro ha presentato richiesta di aiuto finanziario trascorreranno 3-4 settimane per sviluppare un programma di sostegno, una volta che l'eurogruppo raccoglie i fondi necessari richiederà ulteriore tempo per raccogliere i fondi ed erogare il prestito. 
Tra i dati relativi ai Paesi scelti per l'analisi osserviamo come in termini generali gli hanno del 2009 e 2010 registrano un aumento del debito pubblico </t>
        </r>
      </text>
      <mc:AlternateContent>
        <mc:Choice Requires="v2">
          <commentPr autoFill="true" autoScale="false" colHidden="false" locked="false" rowHidden="false" textHAlign="justify" textVAlign="top">
            <anchor moveWithCells="false" sizeWithCells="false">
              <xdr:from>
                <xdr:col>8</xdr:col>
                <xdr:colOff>167</xdr:colOff>
                <xdr:row>19</xdr:row>
                <xdr:rowOff>9</xdr:rowOff>
              </xdr:from>
              <xdr:to>
                <xdr:col>9</xdr:col>
                <xdr:colOff>150</xdr:colOff>
                <xdr:row>23</xdr:row>
                <xdr:rowOff>8</xdr:rowOff>
              </xdr:to>
            </anchor>
          </commentPr>
        </mc:Choice>
        <mc:Fallback/>
      </mc:AlternateContent>
    </comment>
    <comment ref="I93" authorId="0">
      <text>
        <r>
          <rPr>
            <sz val="10"/>
            <rFont val="Noto Sans"/>
            <family val="2"/>
          </rPr>
          <t xml:space="preserve">Sono fondamentali per valutare quanto bene il modello scelto descrive la serie temporale.
</t>
        </r>
      </text>
      <mc:AlternateContent>
        <mc:Choice Requires="v2">
          <commentPr autoFill="true" autoScale="false" colHidden="false" locked="false" rowHidden="false" textHAlign="justify" textVAlign="top">
            <anchor moveWithCells="false" sizeWithCells="false">
              <xdr:from>
                <xdr:col>8</xdr:col>
                <xdr:colOff>167</xdr:colOff>
                <xdr:row>91</xdr:row>
                <xdr:rowOff>10</xdr:rowOff>
              </xdr:from>
              <xdr:to>
                <xdr:col>9</xdr:col>
                <xdr:colOff>150</xdr:colOff>
                <xdr:row>95</xdr:row>
                <xdr:rowOff>13</xdr:rowOff>
              </xdr:to>
            </anchor>
          </commentPr>
        </mc:Choice>
        <mc:Fallback/>
      </mc:AlternateContent>
    </comment>
    <comment ref="J44" authorId="0">
      <text>
        <r>
          <rPr>
            <sz val="10"/>
            <rFont val="Noto Sans"/>
            <family val="2"/>
          </rPr>
          <t xml:space="preserve">Nel quarto trimestre del 2007 si registra una variazione di 0,96% inferiore rispetto al trimestre precedente</t>
        </r>
      </text>
      <mc:AlternateContent>
        <mc:Choice Requires="v2">
          <commentPr autoFill="true" autoScale="false" colHidden="false" locked="false" rowHidden="false" textHAlign="justify" textVAlign="top">
            <anchor moveWithCells="false" sizeWithCells="false">
              <xdr:from>
                <xdr:col>9</xdr:col>
                <xdr:colOff>118</xdr:colOff>
                <xdr:row>42</xdr:row>
                <xdr:rowOff>10</xdr:rowOff>
              </xdr:from>
              <xdr:to>
                <xdr:col>10</xdr:col>
                <xdr:colOff>120</xdr:colOff>
                <xdr:row>46</xdr:row>
                <xdr:rowOff>9</xdr:rowOff>
              </xdr:to>
            </anchor>
          </commentPr>
        </mc:Choice>
        <mc:Fallback/>
      </mc:AlternateContent>
    </comment>
    <comment ref="J53" authorId="0">
      <text>
        <r>
          <rPr>
            <sz val="10"/>
            <rFont val="Noto Sans"/>
            <family val="2"/>
          </rPr>
          <t xml:space="preserve">Nel primo trimestre del 2010 si registra una variazione dell'ordine di 2,77% </t>
        </r>
      </text>
      <mc:AlternateContent>
        <mc:Choice Requires="v2">
          <commentPr autoFill="true" autoScale="false" colHidden="false" locked="false" rowHidden="false" textHAlign="justify" textVAlign="top">
            <anchor moveWithCells="false" sizeWithCells="false">
              <xdr:from>
                <xdr:col>9</xdr:col>
                <xdr:colOff>118</xdr:colOff>
                <xdr:row>51</xdr:row>
                <xdr:rowOff>10</xdr:rowOff>
              </xdr:from>
              <xdr:to>
                <xdr:col>10</xdr:col>
                <xdr:colOff>120</xdr:colOff>
                <xdr:row>55</xdr:row>
                <xdr:rowOff>9</xdr:rowOff>
              </xdr:to>
            </anchor>
          </commentPr>
        </mc:Choice>
        <mc:Fallback/>
      </mc:AlternateContent>
    </comment>
    <comment ref="K47" authorId="0">
      <text>
        <r>
          <rPr>
            <sz val="10"/>
            <rFont val="Noto Sans"/>
            <family val="2"/>
          </rPr>
          <t xml:space="preserve">Nel terzo trimestre del 2008 si è registrato una variazione di 0,29% inferiore
</t>
        </r>
      </text>
      <mc:AlternateContent>
        <mc:Choice Requires="v2">
          <commentPr autoFill="true" autoScale="false" colHidden="false" locked="false" rowHidden="false" textHAlign="justify" textVAlign="top">
            <anchor moveWithCells="false" sizeWithCells="false">
              <xdr:from>
                <xdr:col>10</xdr:col>
                <xdr:colOff>106</xdr:colOff>
                <xdr:row>45</xdr:row>
                <xdr:rowOff>10</xdr:rowOff>
              </xdr:from>
              <xdr:to>
                <xdr:col>11</xdr:col>
                <xdr:colOff>116</xdr:colOff>
                <xdr:row>49</xdr:row>
                <xdr:rowOff>9</xdr:rowOff>
              </xdr:to>
            </anchor>
          </commentPr>
        </mc:Choice>
        <mc:Fallback/>
      </mc:AlternateContent>
    </comment>
    <comment ref="K50" authorId="0">
      <text>
        <r>
          <rPr>
            <sz val="10"/>
            <rFont val="Noto Sans"/>
            <family val="2"/>
          </rPr>
          <t xml:space="preserve">Nel secondo trimestre del 2009 la variazione è uguale a 3,81% 
</t>
        </r>
      </text>
      <mc:AlternateContent>
        <mc:Choice Requires="v2">
          <commentPr autoFill="true" autoScale="false" colHidden="false" locked="false" rowHidden="false" textHAlign="justify" textVAlign="top">
            <anchor moveWithCells="false" sizeWithCells="false">
              <xdr:from>
                <xdr:col>10</xdr:col>
                <xdr:colOff>106</xdr:colOff>
                <xdr:row>48</xdr:row>
                <xdr:rowOff>10</xdr:rowOff>
              </xdr:from>
              <xdr:to>
                <xdr:col>11</xdr:col>
                <xdr:colOff>116</xdr:colOff>
                <xdr:row>52</xdr:row>
                <xdr:rowOff>9</xdr:rowOff>
              </xdr:to>
            </anchor>
          </commentPr>
        </mc:Choice>
        <mc:Fallback/>
      </mc:AlternateContent>
    </comment>
    <comment ref="L48" authorId="0">
      <text>
        <r>
          <rPr>
            <sz val="10"/>
            <rFont val="Noto Sans"/>
            <family val="2"/>
          </rPr>
          <t xml:space="preserve">Nell'ultimo trimestre del 2008 si registra una variazione di 9,14% rispetto ai periodi di osservazione precedenti 
</t>
        </r>
      </text>
      <mc:AlternateContent>
        <mc:Choice Requires="v2">
          <commentPr autoFill="true" autoScale="false" colHidden="false" locked="false" rowHidden="false" textHAlign="justify" textVAlign="top">
            <anchor moveWithCells="false" sizeWithCells="false">
              <xdr:from>
                <xdr:col>11</xdr:col>
                <xdr:colOff>214</xdr:colOff>
                <xdr:row>46</xdr:row>
                <xdr:rowOff>10</xdr:rowOff>
              </xdr:from>
              <xdr:to>
                <xdr:col>13</xdr:col>
                <xdr:colOff>2</xdr:colOff>
                <xdr:row>50</xdr:row>
                <xdr:rowOff>18</xdr:rowOff>
              </xdr:to>
            </anchor>
          </commentPr>
        </mc:Choice>
        <mc:Fallback/>
      </mc:AlternateContent>
    </comment>
    <comment ref="L93" authorId="0">
      <text>
        <r>
          <rPr>
            <sz val="10"/>
            <rFont val="Noto Sans"/>
            <family val="2"/>
          </rPr>
          <t xml:space="preserve">Essa è stata calcolata per ogni arco temporale considerato di 4 trimestri per ogni anno. 
é uguale alla media delle variazioni della componente erratica per ogni periodo considerato.  
</t>
        </r>
      </text>
      <mc:AlternateContent>
        <mc:Choice Requires="v2">
          <commentPr autoFill="true" autoScale="false" colHidden="false" locked="false" rowHidden="false" textHAlign="justify" textVAlign="top">
            <anchor moveWithCells="false" sizeWithCells="false">
              <xdr:from>
                <xdr:col>11</xdr:col>
                <xdr:colOff>214</xdr:colOff>
                <xdr:row>91</xdr:row>
                <xdr:rowOff>10</xdr:rowOff>
              </xdr:from>
              <xdr:to>
                <xdr:col>13</xdr:col>
                <xdr:colOff>50</xdr:colOff>
                <xdr:row>99</xdr:row>
                <xdr:rowOff>2</xdr:rowOff>
              </xdr:to>
            </anchor>
          </commentPr>
        </mc:Choice>
        <mc:Fallback/>
      </mc:AlternateContent>
    </comment>
    <comment ref="M53" authorId="0">
      <text>
        <r>
          <rPr>
            <sz val="10"/>
            <rFont val="Noto Sans"/>
            <family val="2"/>
          </rPr>
          <t xml:space="preserve">Nel primo trimestre del 2010 si registra una variazione dell'ordine di 2,79%  rispetto ai periodi precedenti</t>
        </r>
      </text>
      <mc:AlternateContent>
        <mc:Choice Requires="v2">
          <commentPr autoFill="true" autoScale="false" colHidden="false" locked="false" rowHidden="false" textHAlign="justify" textVAlign="top">
            <anchor moveWithCells="false" sizeWithCells="false">
              <xdr:from>
                <xdr:col>12</xdr:col>
                <xdr:colOff>124</xdr:colOff>
                <xdr:row>51</xdr:row>
                <xdr:rowOff>10</xdr:rowOff>
              </xdr:from>
              <xdr:to>
                <xdr:col>14</xdr:col>
                <xdr:colOff>62</xdr:colOff>
                <xdr:row>56</xdr:row>
                <xdr:rowOff>3</xdr:rowOff>
              </xdr:to>
            </anchor>
          </commentPr>
        </mc:Choice>
        <mc:Fallback/>
      </mc:AlternateContent>
    </comment>
    <comment ref="M101" authorId="0">
      <text>
        <r>
          <rPr>
            <sz val="10"/>
            <rFont val="Noto Sans"/>
            <family val="2"/>
          </rPr>
          <t xml:space="preserve">Mediamente abbiamo rilevato una variazione trimestrale espresso in milioni di euro dell'ordine di 726004.98 euro. </t>
        </r>
      </text>
      <mc:AlternateContent>
        <mc:Choice Requires="v2">
          <commentPr autoFill="true" autoScale="false" colHidden="false" locked="false" rowHidden="false" textHAlign="justify" textVAlign="top">
            <anchor moveWithCells="false" sizeWithCells="false">
              <xdr:from>
                <xdr:col>12</xdr:col>
                <xdr:colOff>124</xdr:colOff>
                <xdr:row>99</xdr:row>
                <xdr:rowOff>12</xdr:rowOff>
              </xdr:from>
              <xdr:to>
                <xdr:col>14</xdr:col>
                <xdr:colOff>52</xdr:colOff>
                <xdr:row>104</xdr:row>
                <xdr:rowOff>12</xdr:rowOff>
              </xdr:to>
            </anchor>
          </commentPr>
        </mc:Choice>
        <mc:Fallback/>
      </mc:AlternateContent>
    </comment>
    <comment ref="M104" authorId="0">
      <text>
        <r>
          <rPr>
            <sz val="10"/>
            <rFont val="Noto Sans"/>
            <family val="2"/>
          </rPr>
          <t xml:space="preserve">La variabilità media in euro nel periodo di osservazione ammonta a 0,019 euro
</t>
        </r>
      </text>
      <mc:AlternateContent>
        <mc:Choice Requires="v2">
          <commentPr autoFill="true" autoScale="false" colHidden="false" locked="false" rowHidden="false" textHAlign="justify" textVAlign="top">
            <anchor moveWithCells="false" sizeWithCells="false">
              <xdr:from>
                <xdr:col>12</xdr:col>
                <xdr:colOff>124</xdr:colOff>
                <xdr:row>102</xdr:row>
                <xdr:rowOff>12</xdr:rowOff>
              </xdr:from>
              <xdr:to>
                <xdr:col>14</xdr:col>
                <xdr:colOff>19</xdr:colOff>
                <xdr:row>106</xdr:row>
                <xdr:rowOff>6</xdr:rowOff>
              </xdr:to>
            </anchor>
          </commentPr>
        </mc:Choice>
        <mc:Fallback/>
      </mc:AlternateContent>
    </comment>
    <comment ref="M129" authorId="0">
      <text>
        <r>
          <rPr>
            <sz val="10"/>
            <rFont val="Noto Sans"/>
            <family val="2"/>
          </rPr>
          <t xml:space="preserve">Mediamente abbiamo rilevato una variazione trimestrale espresso in milioni di euro dell'ordine di 132130,04 euro.</t>
        </r>
      </text>
      <mc:AlternateContent>
        <mc:Choice Requires="v2">
          <commentPr autoFill="true" autoScale="false" colHidden="false" locked="false" rowHidden="false" textHAlign="justify" textVAlign="top">
            <anchor moveWithCells="false" sizeWithCells="false">
              <xdr:from>
                <xdr:col>12</xdr:col>
                <xdr:colOff>124</xdr:colOff>
                <xdr:row>131</xdr:row>
                <xdr:rowOff>17</xdr:rowOff>
              </xdr:from>
              <xdr:to>
                <xdr:col>14</xdr:col>
                <xdr:colOff>20</xdr:colOff>
                <xdr:row>135</xdr:row>
                <xdr:rowOff>17</xdr:rowOff>
              </xdr:to>
            </anchor>
          </commentPr>
        </mc:Choice>
        <mc:Fallback/>
      </mc:AlternateContent>
    </comment>
    <comment ref="M132" authorId="0">
      <text>
        <r>
          <rPr>
            <sz val="10"/>
            <rFont val="Noto Sans"/>
            <family val="2"/>
          </rPr>
          <t xml:space="preserve">La variabilità media in euro nel periodo di osservazione ammonta a 0.018 euro
</t>
        </r>
      </text>
      <mc:AlternateContent>
        <mc:Choice Requires="v2">
          <commentPr autoFill="true" autoScale="false" colHidden="false" locked="false" rowHidden="false" textHAlign="justify" textVAlign="top">
            <anchor moveWithCells="false" sizeWithCells="false">
              <xdr:from>
                <xdr:col>12</xdr:col>
                <xdr:colOff>124</xdr:colOff>
                <xdr:row>134</xdr:row>
                <xdr:rowOff>14</xdr:rowOff>
              </xdr:from>
              <xdr:to>
                <xdr:col>14</xdr:col>
                <xdr:colOff>20</xdr:colOff>
                <xdr:row>138</xdr:row>
                <xdr:rowOff>16</xdr:rowOff>
              </xdr:to>
            </anchor>
          </commentPr>
        </mc:Choice>
        <mc:Fallback/>
      </mc:AlternateContent>
    </comment>
    <comment ref="M157" authorId="0">
      <text>
        <r>
          <rPr>
            <sz val="10"/>
            <rFont val="Noto Sans"/>
            <family val="2"/>
          </rPr>
          <t xml:space="preserve">Mediamente abbiamo rilevato una variazione trimestrale espresso in milioni di euro dell'ordine di 94652,97 euro.
</t>
        </r>
      </text>
      <mc:AlternateContent>
        <mc:Choice Requires="v2">
          <commentPr autoFill="true" autoScale="false" colHidden="false" locked="false" rowHidden="false" textHAlign="justify" textVAlign="top">
            <anchor moveWithCells="false" sizeWithCells="false">
              <xdr:from>
                <xdr:col>12</xdr:col>
                <xdr:colOff>124</xdr:colOff>
                <xdr:row>164</xdr:row>
                <xdr:rowOff>2</xdr:rowOff>
              </xdr:from>
              <xdr:to>
                <xdr:col>14</xdr:col>
                <xdr:colOff>20</xdr:colOff>
                <xdr:row>168</xdr:row>
                <xdr:rowOff>3</xdr:rowOff>
              </xdr:to>
            </anchor>
          </commentPr>
        </mc:Choice>
        <mc:Fallback/>
      </mc:AlternateContent>
    </comment>
    <comment ref="M160" authorId="0">
      <text>
        <r>
          <rPr>
            <sz val="10"/>
            <rFont val="Noto Sans"/>
            <family val="2"/>
          </rPr>
          <t xml:space="preserve">La variabilità media in euro nel periodo di osservazione ammonta a 0.033 euro
</t>
        </r>
      </text>
      <mc:AlternateContent>
        <mc:Choice Requires="v2">
          <commentPr autoFill="true" autoScale="false" colHidden="false" locked="false" rowHidden="false" textHAlign="justify" textVAlign="top">
            <anchor moveWithCells="false" sizeWithCells="false">
              <xdr:from>
                <xdr:col>12</xdr:col>
                <xdr:colOff>124</xdr:colOff>
                <xdr:row>167</xdr:row>
                <xdr:rowOff>5</xdr:rowOff>
              </xdr:from>
              <xdr:to>
                <xdr:col>14</xdr:col>
                <xdr:colOff>20</xdr:colOff>
                <xdr:row>171</xdr:row>
                <xdr:rowOff>3</xdr:rowOff>
              </xdr:to>
            </anchor>
          </commentPr>
        </mc:Choice>
        <mc:Fallback/>
      </mc:AlternateContent>
    </comment>
    <comment ref="M185" authorId="0">
      <text>
        <r>
          <rPr>
            <sz val="10"/>
            <rFont val="Noto Sans"/>
            <family val="2"/>
          </rPr>
          <t xml:space="preserve">Mediamente abbiamo rilevato una variazione trimestrale espresso in milioni di euro dell'ordine di 178667,22 euro.
</t>
        </r>
      </text>
      <mc:AlternateContent>
        <mc:Choice Requires="v2">
          <commentPr autoFill="true" autoScale="false" colHidden="false" locked="false" rowHidden="false" textHAlign="justify" textVAlign="top">
            <anchor moveWithCells="false" sizeWithCells="false">
              <xdr:from>
                <xdr:col>12</xdr:col>
                <xdr:colOff>124</xdr:colOff>
                <xdr:row>192</xdr:row>
                <xdr:rowOff>4</xdr:rowOff>
              </xdr:from>
              <xdr:to>
                <xdr:col>14</xdr:col>
                <xdr:colOff>20</xdr:colOff>
                <xdr:row>196</xdr:row>
                <xdr:rowOff>8</xdr:rowOff>
              </xdr:to>
            </anchor>
          </commentPr>
        </mc:Choice>
        <mc:Fallback/>
      </mc:AlternateContent>
    </comment>
    <comment ref="M188" authorId="0">
      <text>
        <r>
          <rPr>
            <sz val="10"/>
            <rFont val="Noto Sans"/>
            <family val="2"/>
          </rPr>
          <t xml:space="preserve">La variabilità media in euro nel periodo di osservazione ammonta a 0.022 euro
</t>
        </r>
      </text>
      <mc:AlternateContent>
        <mc:Choice Requires="v2">
          <commentPr autoFill="true" autoScale="false" colHidden="false" locked="false" rowHidden="false" textHAlign="justify" textVAlign="top">
            <anchor moveWithCells="false" sizeWithCells="false">
              <xdr:from>
                <xdr:col>13</xdr:col>
                <xdr:colOff>30</xdr:colOff>
                <xdr:row>195</xdr:row>
                <xdr:rowOff>14</xdr:rowOff>
              </xdr:from>
              <xdr:to>
                <xdr:col>14</xdr:col>
                <xdr:colOff>78</xdr:colOff>
                <xdr:row>199</xdr:row>
                <xdr:rowOff>11</xdr:rowOff>
              </xdr:to>
            </anchor>
          </commentPr>
        </mc:Choice>
        <mc:Fallback/>
      </mc:AlternateContent>
    </comment>
    <comment ref="M213" authorId="0">
      <text>
        <r>
          <rPr>
            <sz val="10"/>
            <rFont val="Noto Sans"/>
            <family val="2"/>
          </rPr>
          <t xml:space="preserve">Mediamente abbiamo rilevato una variazione trimestrale  espresso in milioni di euro dell'ordine di 85908,69  euro.
</t>
        </r>
      </text>
      <mc:AlternateContent>
        <mc:Choice Requires="v2">
          <commentPr autoFill="true" autoScale="false" colHidden="false" locked="false" rowHidden="false" textHAlign="justify" textVAlign="top">
            <anchor moveWithCells="false" sizeWithCells="false">
              <xdr:from>
                <xdr:col>12</xdr:col>
                <xdr:colOff>124</xdr:colOff>
                <xdr:row>224</xdr:row>
                <xdr:rowOff>11</xdr:rowOff>
              </xdr:from>
              <xdr:to>
                <xdr:col>14</xdr:col>
                <xdr:colOff>20</xdr:colOff>
                <xdr:row>228</xdr:row>
                <xdr:rowOff>13</xdr:rowOff>
              </xdr:to>
            </anchor>
          </commentPr>
        </mc:Choice>
        <mc:Fallback/>
      </mc:AlternateContent>
    </comment>
    <comment ref="M216" authorId="0">
      <text>
        <r>
          <rPr>
            <sz val="10"/>
            <rFont val="Noto Sans"/>
            <family val="2"/>
          </rPr>
          <t xml:space="preserve">La variabilità media in euro nel periodo di osservazione ammonta a 0.026 euro
</t>
        </r>
      </text>
      <mc:AlternateContent>
        <mc:Choice Requires="v2">
          <commentPr autoFill="true" autoScale="false" colHidden="false" locked="false" rowHidden="false" textHAlign="justify" textVAlign="top">
            <anchor moveWithCells="false" sizeWithCells="false">
              <xdr:from>
                <xdr:col>12</xdr:col>
                <xdr:colOff>124</xdr:colOff>
                <xdr:row>227</xdr:row>
                <xdr:rowOff>16</xdr:rowOff>
              </xdr:from>
              <xdr:to>
                <xdr:col>14</xdr:col>
                <xdr:colOff>20</xdr:colOff>
                <xdr:row>231</xdr:row>
                <xdr:rowOff>16</xdr:rowOff>
              </xdr:to>
            </anchor>
          </commentPr>
        </mc:Choice>
        <mc:Fallback/>
      </mc:AlternateContent>
    </comment>
    <comment ref="M241" authorId="0">
      <text>
        <r>
          <rPr>
            <sz val="10"/>
            <rFont val="Noto Sans"/>
            <family val="2"/>
          </rPr>
          <t xml:space="preserve">Mediamente abbiamo rilevato una variazione trimestrale espresso in milioni di euro dell'ordine di 1952,69 euro.
</t>
        </r>
      </text>
      <mc:AlternateContent>
        <mc:Choice Requires="v2">
          <commentPr autoFill="true" autoScale="false" colHidden="false" locked="false" rowHidden="false" textHAlign="justify" textVAlign="top">
            <anchor moveWithCells="false" sizeWithCells="false">
              <xdr:from>
                <xdr:col>12</xdr:col>
                <xdr:colOff>124</xdr:colOff>
                <xdr:row>257</xdr:row>
                <xdr:rowOff>2</xdr:rowOff>
              </xdr:from>
              <xdr:to>
                <xdr:col>14</xdr:col>
                <xdr:colOff>20</xdr:colOff>
                <xdr:row>261</xdr:row>
                <xdr:rowOff>10</xdr:rowOff>
              </xdr:to>
            </anchor>
          </commentPr>
        </mc:Choice>
        <mc:Fallback/>
      </mc:AlternateContent>
    </comment>
    <comment ref="M244" authorId="0">
      <text>
        <r>
          <rPr>
            <sz val="10"/>
            <rFont val="Noto Sans"/>
            <family val="2"/>
          </rPr>
          <t xml:space="preserve">La variabilità media in euro nel periodo di osservazione ammonta a 0.073 euro
</t>
        </r>
      </text>
      <mc:AlternateContent>
        <mc:Choice Requires="v2">
          <commentPr autoFill="true" autoScale="false" colHidden="false" locked="false" rowHidden="false" textHAlign="justify" textVAlign="top">
            <anchor moveWithCells="false" sizeWithCells="false">
              <xdr:from>
                <xdr:col>12</xdr:col>
                <xdr:colOff>124</xdr:colOff>
                <xdr:row>260</xdr:row>
                <xdr:rowOff>2</xdr:rowOff>
              </xdr:from>
              <xdr:to>
                <xdr:col>14</xdr:col>
                <xdr:colOff>20</xdr:colOff>
                <xdr:row>264</xdr:row>
                <xdr:rowOff>3</xdr:rowOff>
              </xdr:to>
            </anchor>
          </commentPr>
        </mc:Choice>
        <mc:Fallback/>
      </mc:AlternateContent>
    </comment>
    <comment ref="N49" authorId="0">
      <text>
        <r>
          <rPr>
            <sz val="10"/>
            <rFont val="Noto Sans"/>
            <family val="2"/>
          </rPr>
          <t xml:space="preserve">Nel primo trimestre del 2009 si registra una variazione di 4,51%
</t>
        </r>
      </text>
      <mc:AlternateContent>
        <mc:Choice Requires="v2">
          <commentPr autoFill="true" autoScale="false" colHidden="false" locked="false" rowHidden="false" textHAlign="justify" textVAlign="top">
            <anchor moveWithCells="false" sizeWithCells="false">
              <xdr:from>
                <xdr:col>13</xdr:col>
                <xdr:colOff>72</xdr:colOff>
                <xdr:row>47</xdr:row>
                <xdr:rowOff>10</xdr:rowOff>
              </xdr:from>
              <xdr:to>
                <xdr:col>15</xdr:col>
                <xdr:colOff>22</xdr:colOff>
                <xdr:row>51</xdr:row>
                <xdr:rowOff>9</xdr:rowOff>
              </xdr:to>
            </anchor>
          </commentPr>
        </mc:Choice>
        <mc:Fallback/>
      </mc:AlternateContent>
    </comment>
    <comment ref="O52" authorId="0">
      <text>
        <r>
          <rPr>
            <sz val="10"/>
            <rFont val="Noto Sans"/>
            <family val="2"/>
          </rPr>
          <t xml:space="preserve">Nell'ultimo trimestre del 2009 si registra una variazione dell'ordine di 3.01% punti inferiori 
</t>
        </r>
      </text>
      <mc:AlternateContent>
        <mc:Choice Requires="v2">
          <commentPr autoFill="true" autoScale="false" colHidden="false" locked="false" rowHidden="false" textHAlign="justify" textVAlign="top">
            <anchor moveWithCells="false" sizeWithCells="false">
              <xdr:from>
                <xdr:col>14</xdr:col>
                <xdr:colOff>70</xdr:colOff>
                <xdr:row>50</xdr:row>
                <xdr:rowOff>10</xdr:rowOff>
              </xdr:from>
              <xdr:to>
                <xdr:col>16</xdr:col>
                <xdr:colOff>2</xdr:colOff>
                <xdr:row>54</xdr:row>
                <xdr:rowOff>9</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Utente guest</author>
  </authors>
  <commentList>
    <comment ref="G15" authorId="0">
      <text>
        <r>
          <rPr>
            <sz val="10"/>
            <rFont val="Noto Sans"/>
            <family val="2"/>
          </rPr>
          <t xml:space="preserve">Dati tratti dal data world bank a causa di mancanze dal sito Eurostat. 
Utilizzo del cambio valuta dal dollaro americano a euro. Dati approssimati al tasso di cambio di valuta corrente. 
</t>
        </r>
      </text>
      <mc:AlternateContent>
        <mc:Choice Requires="v2">
          <commentPr autoFill="true" autoScale="false" colHidden="false" locked="false" rowHidden="false" textHAlign="justify" textVAlign="top">
            <anchor moveWithCells="false" sizeWithCells="false">
              <xdr:from>
                <xdr:col>5</xdr:col>
                <xdr:colOff>207</xdr:colOff>
                <xdr:row>13</xdr:row>
                <xdr:rowOff>13</xdr:rowOff>
              </xdr:from>
              <xdr:to>
                <xdr:col>6</xdr:col>
                <xdr:colOff>136</xdr:colOff>
                <xdr:row>17</xdr:row>
                <xdr:rowOff>18</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Utente guest</author>
  </authors>
  <commentList>
    <comment ref="G15" authorId="0">
      <text>
        <r>
          <rPr>
            <sz val="10"/>
            <rFont val="Noto Sans"/>
            <family val="2"/>
          </rPr>
          <t xml:space="preserve">Dati tratti dal data world bank a causa di mancanze dal sito Eurostat. 
Utilizzo del cambio valuta dal dollaro americano a euro. Dati approssimati al tasso di cambio di valuta corrente. 
</t>
        </r>
      </text>
      <mc:AlternateContent>
        <mc:Choice Requires="v2">
          <commentPr autoFill="true" autoScale="false" colHidden="false" locked="false" rowHidden="false" textHAlign="justify" textVAlign="top">
            <anchor moveWithCells="false" sizeWithCells="false">
              <xdr:from>
                <xdr:col>6</xdr:col>
                <xdr:colOff>104</xdr:colOff>
                <xdr:row>13</xdr:row>
                <xdr:rowOff>14</xdr:rowOff>
              </xdr:from>
              <xdr:to>
                <xdr:col>7</xdr:col>
                <xdr:colOff>121</xdr:colOff>
                <xdr:row>17</xdr:row>
                <xdr:rowOff>18</xdr:rowOff>
              </xdr:to>
            </anchor>
          </commentPr>
        </mc:Choice>
        <mc:Fallback/>
      </mc:AlternateContent>
    </comment>
    <comment ref="J4" authorId="0">
      <text>
        <r>
          <rPr>
            <sz val="10"/>
            <rFont val="Noto Sans"/>
            <family val="2"/>
          </rPr>
          <t xml:space="preserve">È il coefficiente di correlazione lineare (coefficiente di Pearson) tra i valori osservati della variabile dipendente (immigrazione) e i valori predetti dal modello. Esso è un valore compreso tra 0 a 1. 
</t>
        </r>
      </text>
      <mc:AlternateContent>
        <mc:Choice Requires="v2">
          <commentPr autoFill="true" autoScale="false" colHidden="false" locked="false" rowHidden="false" textHAlign="justify" textVAlign="top">
            <anchor moveWithCells="false" sizeWithCells="false">
              <xdr:from>
                <xdr:col>9</xdr:col>
                <xdr:colOff>316</xdr:colOff>
                <xdr:row>2</xdr:row>
                <xdr:rowOff>10</xdr:rowOff>
              </xdr:from>
              <xdr:to>
                <xdr:col>12</xdr:col>
                <xdr:colOff>8</xdr:colOff>
                <xdr:row>6</xdr:row>
                <xdr:rowOff>9</xdr:rowOff>
              </xdr:to>
            </anchor>
          </commentPr>
        </mc:Choice>
        <mc:Fallback/>
      </mc:AlternateContent>
    </comment>
    <comment ref="J5" authorId="0">
      <text>
        <r>
          <rPr>
            <sz val="10"/>
            <rFont val="Noto Sans"/>
            <family val="2"/>
          </rPr>
          <t xml:space="preserve">Indica la proporzione della varianza della variabile dipendente spiegata dalle variabili indipendenti nel modello. é un valore compreso tra 0 e 1. 
</t>
        </r>
      </text>
      <mc:AlternateContent>
        <mc:Choice Requires="v2">
          <commentPr autoFill="true" autoScale="false" colHidden="false" locked="false" rowHidden="false" textHAlign="justify" textVAlign="top">
            <anchor moveWithCells="false" sizeWithCells="false">
              <xdr:from>
                <xdr:col>9</xdr:col>
                <xdr:colOff>316</xdr:colOff>
                <xdr:row>3</xdr:row>
                <xdr:rowOff>10</xdr:rowOff>
              </xdr:from>
              <xdr:to>
                <xdr:col>12</xdr:col>
                <xdr:colOff>8</xdr:colOff>
                <xdr:row>7</xdr:row>
                <xdr:rowOff>9</xdr:rowOff>
              </xdr:to>
            </anchor>
          </commentPr>
        </mc:Choice>
        <mc:Fallback/>
      </mc:AlternateContent>
    </comment>
    <comment ref="J6" authorId="0">
      <text>
        <r>
          <rPr>
            <sz val="10"/>
            <rFont val="Noto Sans"/>
            <family val="2"/>
          </rPr>
          <t xml:space="preserve">Una versione modificata di R al quadrato che tiene conto del numero di variabili indipendenti e della dimensione del campione.
Può diminuire o crescere rispetto a R al quadrato se le variabili migliorano o meno la spiegazione della varianza
</t>
        </r>
      </text>
      <mc:AlternateContent>
        <mc:Choice Requires="v2">
          <commentPr autoFill="true" autoScale="false" colHidden="false" locked="false" rowHidden="false" textHAlign="justify" textVAlign="top">
            <anchor moveWithCells="false" sizeWithCells="false">
              <xdr:from>
                <xdr:col>9</xdr:col>
                <xdr:colOff>316</xdr:colOff>
                <xdr:row>4</xdr:row>
                <xdr:rowOff>10</xdr:rowOff>
              </xdr:from>
              <xdr:to>
                <xdr:col>12</xdr:col>
                <xdr:colOff>8</xdr:colOff>
                <xdr:row>8</xdr:row>
                <xdr:rowOff>9</xdr:rowOff>
              </xdr:to>
            </anchor>
          </commentPr>
        </mc:Choice>
        <mc:Fallback/>
      </mc:AlternateContent>
    </comment>
    <comment ref="J7" authorId="0">
      <text>
        <r>
          <rPr>
            <sz val="10"/>
            <rFont val="Noto Sans"/>
            <family val="2"/>
          </rPr>
          <t xml:space="preserve">Indica quanto è probabile che una stima si discosti dal valore reale o vero di un parametro.
</t>
        </r>
      </text>
      <mc:AlternateContent>
        <mc:Choice Requires="v2">
          <commentPr autoFill="true" autoScale="false" colHidden="false" locked="false" rowHidden="false" textHAlign="justify" textVAlign="top">
            <anchor moveWithCells="false" sizeWithCells="false">
              <xdr:from>
                <xdr:col>9</xdr:col>
                <xdr:colOff>316</xdr:colOff>
                <xdr:row>5</xdr:row>
                <xdr:rowOff>10</xdr:rowOff>
              </xdr:from>
              <xdr:to>
                <xdr:col>12</xdr:col>
                <xdr:colOff>8</xdr:colOff>
                <xdr:row>9</xdr:row>
                <xdr:rowOff>9</xdr:rowOff>
              </xdr:to>
            </anchor>
          </commentPr>
        </mc:Choice>
        <mc:Fallback/>
      </mc:AlternateContent>
    </comment>
    <comment ref="K4" authorId="0">
      <text>
        <r>
          <rPr>
            <sz val="10"/>
            <rFont val="Noto Sans"/>
            <family val="2"/>
          </rPr>
          <t xml:space="preserve">Un R multiplo uguale a 0,86 indica una correlazione decisamente forte tra la variabile dipendente e indipendente
</t>
        </r>
      </text>
      <mc:AlternateContent>
        <mc:Choice Requires="v2">
          <commentPr autoFill="true" autoScale="false" colHidden="false" locked="false" rowHidden="false" textHAlign="justify" textVAlign="top">
            <anchor moveWithCells="false" sizeWithCells="false">
              <xdr:from>
                <xdr:col>10</xdr:col>
                <xdr:colOff>149</xdr:colOff>
                <xdr:row>2</xdr:row>
                <xdr:rowOff>10</xdr:rowOff>
              </xdr:from>
              <xdr:to>
                <xdr:col>13</xdr:col>
                <xdr:colOff>8</xdr:colOff>
                <xdr:row>6</xdr:row>
                <xdr:rowOff>9</xdr:rowOff>
              </xdr:to>
            </anchor>
          </commentPr>
        </mc:Choice>
        <mc:Fallback/>
      </mc:AlternateContent>
    </comment>
    <comment ref="K5" authorId="0">
      <text>
        <r>
          <rPr>
            <sz val="10"/>
            <rFont val="Noto Sans"/>
            <family val="2"/>
          </rPr>
          <t xml:space="preserve">Il modello spiega abbastanza bene la variabilità dei dati. Il modello spiega il 74% della variabilità osservata nei dati, indicando che la retta di regressione si adatta piuttosto bene alla distribuzione dei dati, catturandone gran parte della variabilità</t>
        </r>
      </text>
      <mc:AlternateContent>
        <mc:Choice Requires="v2">
          <commentPr autoFill="true" autoScale="false" colHidden="false" locked="false" rowHidden="false" textHAlign="justify" textVAlign="top">
            <anchor moveWithCells="false" sizeWithCells="false">
              <xdr:from>
                <xdr:col>10</xdr:col>
                <xdr:colOff>149</xdr:colOff>
                <xdr:row>3</xdr:row>
                <xdr:rowOff>10</xdr:rowOff>
              </xdr:from>
              <xdr:to>
                <xdr:col>13</xdr:col>
                <xdr:colOff>8</xdr:colOff>
                <xdr:row>7</xdr:row>
                <xdr:rowOff>9</xdr:rowOff>
              </xdr:to>
            </anchor>
          </commentPr>
        </mc:Choice>
        <mc:Fallback/>
      </mc:AlternateContent>
    </comment>
    <comment ref="K6" authorId="0">
      <text>
        <r>
          <rPr>
            <sz val="10"/>
            <rFont val="Noto Sans"/>
            <family val="2"/>
          </rPr>
          <t xml:space="preserve">Il modello spiega in maniera sufficiente la variabilità della variabile dipendente.
</t>
        </r>
      </text>
      <mc:AlternateContent>
        <mc:Choice Requires="v2">
          <commentPr autoFill="true" autoScale="false" colHidden="false" locked="false" rowHidden="false" textHAlign="justify" textVAlign="top">
            <anchor moveWithCells="false" sizeWithCells="false">
              <xdr:from>
                <xdr:col>10</xdr:col>
                <xdr:colOff>149</xdr:colOff>
                <xdr:row>4</xdr:row>
                <xdr:rowOff>10</xdr:rowOff>
              </xdr:from>
              <xdr:to>
                <xdr:col>13</xdr:col>
                <xdr:colOff>8</xdr:colOff>
                <xdr:row>8</xdr:row>
                <xdr:rowOff>9</xdr:rowOff>
              </xdr:to>
            </anchor>
          </commentPr>
        </mc:Choice>
        <mc:Fallback/>
      </mc:AlternateContent>
    </comment>
    <comment ref="N12" authorId="0">
      <text>
        <r>
          <rPr>
            <sz val="10"/>
            <rFont val="Noto Sans"/>
            <family val="2"/>
          </rPr>
          <t xml:space="preserve">è un valore relativamente elevato, suggerendo che il modello complessivo ha una buona capacità di spiegare la variabilità rispetto a un modello nullo.
è un'indicazione della bontà di adattamento.
</t>
        </r>
      </text>
      <mc:AlternateContent>
        <mc:Choice Requires="v2">
          <commentPr autoFill="true" autoScale="false" colHidden="false" locked="false" rowHidden="false" textHAlign="justify" textVAlign="top">
            <anchor moveWithCells="false" sizeWithCells="false">
              <xdr:from>
                <xdr:col>13</xdr:col>
                <xdr:colOff>147</xdr:colOff>
                <xdr:row>10</xdr:row>
                <xdr:rowOff>10</xdr:rowOff>
              </xdr:from>
              <xdr:to>
                <xdr:col>16</xdr:col>
                <xdr:colOff>8</xdr:colOff>
                <xdr:row>14</xdr:row>
                <xdr:rowOff>9</xdr:rowOff>
              </xdr:to>
            </anchor>
          </commentPr>
        </mc:Choice>
        <mc:Fallback/>
      </mc:AlternateContent>
    </comment>
    <comment ref="O12" authorId="0">
      <text>
        <r>
          <rPr>
            <sz val="10"/>
            <rFont val="Noto Sans"/>
            <family val="2"/>
          </rPr>
          <t xml:space="preserve">Tale valore vicino a zero indica che la probabilità di osservare i risultati per caso (se il modello nullo fosse vero) è praticamente nulla.
Dal punto di vista statistico il modello è significativo. 
Le variabili indipendenti  del modello studiato  spiegano una parte rilevante della variabilità della variabile dipendente</t>
        </r>
      </text>
      <mc:AlternateContent>
        <mc:Choice Requires="v2">
          <commentPr autoFill="true" autoScale="false" colHidden="false" locked="false" rowHidden="false" textHAlign="justify" textVAlign="top">
            <anchor moveWithCells="false" sizeWithCells="false">
              <xdr:from>
                <xdr:col>14</xdr:col>
                <xdr:colOff>97</xdr:colOff>
                <xdr:row>10</xdr:row>
                <xdr:rowOff>10</xdr:rowOff>
              </xdr:from>
              <xdr:to>
                <xdr:col>17</xdr:col>
                <xdr:colOff>8</xdr:colOff>
                <xdr:row>14</xdr:row>
                <xdr:rowOff>9</xdr:rowOff>
              </xdr:to>
            </anchor>
          </commentPr>
        </mc:Choice>
        <mc:Fallback/>
      </mc:AlternateContent>
    </comment>
  </commentList>
</comments>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Utente guest</author>
  </authors>
  <commentList>
    <comment ref="H4" authorId="0">
      <text>
        <r>
          <rPr>
            <sz val="10"/>
            <rFont val="Noto Sans"/>
            <family val="2"/>
          </rPr>
          <t xml:space="preserve">Un R multiplo uguale a 0,85 suggerisce una buona correlazione tra variabili dipendenti e indipendenti 
</t>
        </r>
      </text>
      <mc:AlternateContent>
        <mc:Choice Requires="v2">
          <commentPr autoFill="true" autoScale="false" colHidden="false" locked="false" rowHidden="false" textHAlign="justify" textVAlign="top">
            <anchor moveWithCells="false" sizeWithCells="false">
              <xdr:from>
                <xdr:col>7</xdr:col>
                <xdr:colOff>48</xdr:colOff>
                <xdr:row>2</xdr:row>
                <xdr:rowOff>10</xdr:rowOff>
              </xdr:from>
              <xdr:to>
                <xdr:col>8</xdr:col>
                <xdr:colOff>94</xdr:colOff>
                <xdr:row>6</xdr:row>
                <xdr:rowOff>9</xdr:rowOff>
              </xdr:to>
            </anchor>
          </commentPr>
        </mc:Choice>
        <mc:Fallback/>
      </mc:AlternateContent>
    </comment>
    <comment ref="H5" authorId="0">
      <text>
        <r>
          <rPr>
            <sz val="10"/>
            <rFont val="Noto Sans"/>
            <family val="2"/>
          </rPr>
          <t xml:space="preserve">Il modello spiega il 73% della variabilità osservata nei dati, indicando che la retta di regressione si adatta piuttosto bene alla distribuzione dei dati, catturandone gran parte della variabilità. </t>
        </r>
      </text>
      <mc:AlternateContent>
        <mc:Choice Requires="v2">
          <commentPr autoFill="true" autoScale="false" colHidden="false" locked="false" rowHidden="false" textHAlign="justify" textVAlign="top">
            <anchor moveWithCells="false" sizeWithCells="false">
              <xdr:from>
                <xdr:col>7</xdr:col>
                <xdr:colOff>48</xdr:colOff>
                <xdr:row>3</xdr:row>
                <xdr:rowOff>10</xdr:rowOff>
              </xdr:from>
              <xdr:to>
                <xdr:col>8</xdr:col>
                <xdr:colOff>94</xdr:colOff>
                <xdr:row>7</xdr:row>
                <xdr:rowOff>9</xdr:rowOff>
              </xdr:to>
            </anchor>
          </commentPr>
        </mc:Choice>
        <mc:Fallback/>
      </mc:AlternateContent>
    </comment>
    <comment ref="H6" authorId="0">
      <text>
        <r>
          <rPr>
            <sz val="10"/>
            <rFont val="Noto Sans"/>
            <family val="2"/>
          </rPr>
          <t xml:space="preserve">Il modello spiega il 70% della variabilità della variabile dipendente grazie alla numerosità variabili indipendenti e alla grandezza del campione. 
</t>
        </r>
      </text>
      <mc:AlternateContent>
        <mc:Choice Requires="v2">
          <commentPr autoFill="true" autoScale="false" colHidden="false" locked="false" rowHidden="false" textHAlign="justify" textVAlign="top">
            <anchor moveWithCells="false" sizeWithCells="false">
              <xdr:from>
                <xdr:col>7</xdr:col>
                <xdr:colOff>48</xdr:colOff>
                <xdr:row>4</xdr:row>
                <xdr:rowOff>10</xdr:rowOff>
              </xdr:from>
              <xdr:to>
                <xdr:col>8</xdr:col>
                <xdr:colOff>94</xdr:colOff>
                <xdr:row>8</xdr:row>
                <xdr:rowOff>9</xdr:rowOff>
              </xdr:to>
            </anchor>
          </commentPr>
        </mc:Choice>
        <mc:Fallback/>
      </mc:AlternateContent>
    </comment>
    <comment ref="K12" authorId="0">
      <text>
        <r>
          <rPr>
            <sz val="10"/>
            <rFont val="Noto Sans"/>
            <family val="2"/>
          </rPr>
          <t xml:space="preserve">Un valore così elevato suggerisce un modello che si adatta bene ai dati e che le variabili indipendenti contribuiscono significativamente alla spiegazione della variabile dipendente.
</t>
        </r>
      </text>
      <mc:AlternateContent>
        <mc:Choice Requires="v2">
          <commentPr autoFill="true" autoScale="false" colHidden="false" locked="false" rowHidden="false" textHAlign="justify" textVAlign="top">
            <anchor moveWithCells="false" sizeWithCells="false">
              <xdr:from>
                <xdr:col>10</xdr:col>
                <xdr:colOff>87</xdr:colOff>
                <xdr:row>10</xdr:row>
                <xdr:rowOff>10</xdr:rowOff>
              </xdr:from>
              <xdr:to>
                <xdr:col>11</xdr:col>
                <xdr:colOff>93</xdr:colOff>
                <xdr:row>14</xdr:row>
                <xdr:rowOff>9</xdr:rowOff>
              </xdr:to>
            </anchor>
          </commentPr>
        </mc:Choice>
        <mc:Fallback/>
      </mc:AlternateContent>
    </comment>
    <comment ref="L12" authorId="0">
      <text>
        <r>
          <rPr>
            <sz val="10"/>
            <rFont val="Noto Sans"/>
            <family val="2"/>
          </rPr>
          <t xml:space="preserve">Questo conferma che il modello complessivo è estremamente significativo dal punto di vista statistico.
</t>
        </r>
      </text>
      <mc:AlternateContent>
        <mc:Choice Requires="v2">
          <commentPr autoFill="true" autoScale="false" colHidden="false" locked="false" rowHidden="false" textHAlign="justify" textVAlign="top">
            <anchor moveWithCells="false" sizeWithCells="false">
              <xdr:from>
                <xdr:col>11</xdr:col>
                <xdr:colOff>43</xdr:colOff>
                <xdr:row>10</xdr:row>
                <xdr:rowOff>10</xdr:rowOff>
              </xdr:from>
              <xdr:to>
                <xdr:col>12</xdr:col>
                <xdr:colOff>95</xdr:colOff>
                <xdr:row>14</xdr:row>
                <xdr:rowOff>9</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Utente guest</author>
  </authors>
  <commentList>
    <comment ref="G17" authorId="0">
      <text>
        <r>
          <rPr>
            <sz val="10"/>
            <rFont val="Noto Sans"/>
            <family val="2"/>
          </rPr>
          <t xml:space="preserve">A variazioni nulle delle variabili indipendenti 
immigrazione 2015 e pensioni 2015, il valore di emigrazione previsto è 25.440,70, che corrisponde al valore dell'intercetta del modello di regressione</t>
        </r>
      </text>
      <mc:AlternateContent>
        <mc:Choice Requires="v2">
          <commentPr autoFill="true" autoScale="false" colHidden="false" locked="false" rowHidden="false" textHAlign="justify" textVAlign="top">
            <anchor moveWithCells="false" sizeWithCells="false">
              <xdr:from>
                <xdr:col>7</xdr:col>
                <xdr:colOff>15</xdr:colOff>
                <xdr:row>15</xdr:row>
                <xdr:rowOff>9</xdr:rowOff>
              </xdr:from>
              <xdr:to>
                <xdr:col>8</xdr:col>
                <xdr:colOff>12</xdr:colOff>
                <xdr:row>19</xdr:row>
                <xdr:rowOff>7</xdr:rowOff>
              </xdr:to>
            </anchor>
          </commentPr>
        </mc:Choice>
        <mc:Fallback/>
      </mc:AlternateContent>
    </comment>
    <comment ref="H4" authorId="0">
      <text>
        <r>
          <rPr>
            <sz val="10"/>
            <rFont val="Noto Sans"/>
            <family val="2"/>
          </rPr>
          <t xml:space="preserve">Un R multiplo uguale a 0,84 suggerisce una buona correlazione tra variabili dipendenti e indipendenti 
</t>
        </r>
      </text>
      <mc:AlternateContent>
        <mc:Choice Requires="v2">
          <commentPr autoFill="true" autoScale="false" colHidden="false" locked="false" rowHidden="false" textHAlign="justify" textVAlign="top">
            <anchor moveWithCells="false" sizeWithCells="false">
              <xdr:from>
                <xdr:col>8</xdr:col>
                <xdr:colOff>7</xdr:colOff>
                <xdr:row>2</xdr:row>
                <xdr:rowOff>14</xdr:rowOff>
              </xdr:from>
              <xdr:to>
                <xdr:col>9</xdr:col>
                <xdr:colOff>36</xdr:colOff>
                <xdr:row>6</xdr:row>
                <xdr:rowOff>18</xdr:rowOff>
              </xdr:to>
            </anchor>
          </commentPr>
        </mc:Choice>
        <mc:Fallback/>
      </mc:AlternateContent>
    </comment>
    <comment ref="H5" authorId="0">
      <text>
        <r>
          <rPr>
            <sz val="10"/>
            <rFont val="Noto Sans"/>
            <family val="2"/>
          </rPr>
          <t xml:space="preserve">Il modello spiega il 71% della variabilità osservata nei dati</t>
        </r>
      </text>
      <mc:AlternateContent>
        <mc:Choice Requires="v2">
          <commentPr autoFill="true" autoScale="false" colHidden="false" locked="false" rowHidden="false" textHAlign="justify" textVAlign="top">
            <anchor moveWithCells="false" sizeWithCells="false">
              <xdr:from>
                <xdr:col>8</xdr:col>
                <xdr:colOff>7</xdr:colOff>
                <xdr:row>3</xdr:row>
                <xdr:rowOff>14</xdr:rowOff>
              </xdr:from>
              <xdr:to>
                <xdr:col>9</xdr:col>
                <xdr:colOff>36</xdr:colOff>
                <xdr:row>7</xdr:row>
                <xdr:rowOff>18</xdr:rowOff>
              </xdr:to>
            </anchor>
          </commentPr>
        </mc:Choice>
        <mc:Fallback/>
      </mc:AlternateContent>
    </comment>
    <comment ref="H6" authorId="0">
      <text>
        <r>
          <rPr>
            <sz val="10"/>
            <rFont val="Noto Sans"/>
            <family val="2"/>
          </rPr>
          <t xml:space="preserve">Il modello spiega circa il 70% della variabilità della variabile dipendente</t>
        </r>
      </text>
      <mc:AlternateContent>
        <mc:Choice Requires="v2">
          <commentPr autoFill="true" autoScale="false" colHidden="false" locked="false" rowHidden="false" textHAlign="justify" textVAlign="top">
            <anchor moveWithCells="false" sizeWithCells="false">
              <xdr:from>
                <xdr:col>8</xdr:col>
                <xdr:colOff>7</xdr:colOff>
                <xdr:row>4</xdr:row>
                <xdr:rowOff>14</xdr:rowOff>
              </xdr:from>
              <xdr:to>
                <xdr:col>9</xdr:col>
                <xdr:colOff>36</xdr:colOff>
                <xdr:row>8</xdr:row>
                <xdr:rowOff>18</xdr:rowOff>
              </xdr:to>
            </anchor>
          </commentPr>
        </mc:Choice>
        <mc:Fallback/>
      </mc:AlternateContent>
    </comment>
    <comment ref="K12" authorId="0">
      <text>
        <r>
          <rPr>
            <sz val="10"/>
            <rFont val="Noto Sans"/>
            <family val="2"/>
          </rPr>
          <t xml:space="preserve">il modello riesce a spiegare molto bene la variabilità osservata nei dati.</t>
        </r>
      </text>
      <mc:AlternateContent>
        <mc:Choice Requires="v2">
          <commentPr autoFill="true" autoScale="false" colHidden="false" locked="false" rowHidden="false" textHAlign="justify" textVAlign="top">
            <anchor moveWithCells="false" sizeWithCells="false">
              <xdr:from>
                <xdr:col>11</xdr:col>
                <xdr:colOff>7</xdr:colOff>
                <xdr:row>10</xdr:row>
                <xdr:rowOff>14</xdr:rowOff>
              </xdr:from>
              <xdr:to>
                <xdr:col>12</xdr:col>
                <xdr:colOff>41</xdr:colOff>
                <xdr:row>14</xdr:row>
                <xdr:rowOff>18</xdr:rowOff>
              </xdr:to>
            </anchor>
          </commentPr>
        </mc:Choice>
        <mc:Fallback/>
      </mc:AlternateContent>
    </comment>
    <comment ref="L12" authorId="0">
      <text>
        <r>
          <rPr>
            <sz val="10"/>
            <rFont val="Noto Sans"/>
            <family val="2"/>
          </rPr>
          <t xml:space="preserve">Una significatività talmente bassa indica che c'è una probabilità quasi nulla che i risultati osservati siano dovuti al caso se l'ipotesi nulla fosse vera.
</t>
        </r>
      </text>
      <mc:AlternateContent>
        <mc:Choice Requires="v2">
          <commentPr autoFill="true" autoScale="false" colHidden="false" locked="false" rowHidden="false" textHAlign="justify" textVAlign="top">
            <anchor moveWithCells="false" sizeWithCells="false">
              <xdr:from>
                <xdr:col>12</xdr:col>
                <xdr:colOff>15</xdr:colOff>
                <xdr:row>10</xdr:row>
                <xdr:rowOff>9</xdr:rowOff>
              </xdr:from>
              <xdr:to>
                <xdr:col>14</xdr:col>
                <xdr:colOff>31</xdr:colOff>
                <xdr:row>14</xdr:row>
                <xdr:rowOff>13</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Sofia</author>
  </authors>
  <commentList>
    <comment ref="U2" authorId="0">
      <text>
        <r>
          <rPr>
            <sz val="10"/>
            <rFont val="Noto Sans"/>
            <family val="2"/>
          </rPr>
          <t xml:space="preserve">Il saggi medio di variazionee uguale a -1,34% indica che l'immigrazione negli anni che vanno dal 2015 al 2020 nello stato dell'Austria è
diminiuto di 1,34 punti percentuali.</t>
        </r>
      </text>
      <mc:AlternateContent>
        <mc:Choice Requires="v2">
          <commentPr autoFill="true" autoScale="false" colHidden="false" locked="false" rowHidden="false" textHAlign="justify" textVAlign="top">
            <anchor moveWithCells="false" sizeWithCells="false">
              <xdr:from>
                <xdr:col>21</xdr:col>
                <xdr:colOff>15</xdr:colOff>
                <xdr:row>0</xdr:row>
                <xdr:rowOff>9</xdr:rowOff>
              </xdr:from>
              <xdr:to>
                <xdr:col>22</xdr:col>
                <xdr:colOff>-116</xdr:colOff>
                <xdr:row>4</xdr:row>
                <xdr:rowOff>12</xdr:rowOff>
              </xdr:to>
            </anchor>
          </commentPr>
        </mc:Choice>
        <mc:Fallback/>
      </mc:AlternateContent>
    </comment>
    <comment ref="U22" authorId="0">
      <text>
        <r>
          <rPr>
            <sz val="10"/>
            <rFont val="Noto Sans"/>
            <family val="2"/>
          </rPr>
          <t xml:space="preserve">Il</t>
        </r>
        <r>
          <rPr>
            <b val="true"/>
            <sz val="9"/>
            <color rgb="FF000000"/>
            <rFont val="Tahoma"/>
            <family val="2"/>
            <charset val="1"/>
          </rPr>
          <t xml:space="preserve"> </t>
        </r>
        <r>
          <rPr>
            <sz val="9"/>
            <color rgb="FF000000"/>
            <rFont val="Tahoma"/>
            <family val="2"/>
            <charset val="1"/>
          </rPr>
          <t xml:space="preserve">saggio medio di variazione negli anni che vanno dal 2015 al 2020 nello stato di Montenegro indicano un'aumento dell'immgrazione di 0,80 punti percentuali</t>
        </r>
      </text>
      <mc:AlternateContent>
        <mc:Choice Requires="v2">
          <commentPr autoFill="true" autoScale="false" colHidden="false" locked="false" rowHidden="false" textHAlign="justify" textVAlign="top">
            <anchor moveWithCells="false" sizeWithCells="false">
              <xdr:from>
                <xdr:col>21</xdr:col>
                <xdr:colOff>15</xdr:colOff>
                <xdr:row>20</xdr:row>
                <xdr:rowOff>9</xdr:rowOff>
              </xdr:from>
              <xdr:to>
                <xdr:col>22</xdr:col>
                <xdr:colOff>-116</xdr:colOff>
                <xdr:row>24</xdr:row>
                <xdr:rowOff>12</xdr:rowOff>
              </xdr:to>
            </anchor>
          </commentPr>
        </mc:Choice>
        <mc:Fallback/>
      </mc:AlternateContent>
    </comment>
    <comment ref="V13" authorId="0">
      <text>
        <r>
          <rPr>
            <sz val="10"/>
            <rFont val="Noto Sans"/>
            <family val="2"/>
          </rPr>
          <t xml:space="preserve">Il saggio marginale delle pensoni negli anni dal 2015 al 2020 nello stato della Grecia hanno registrato un decremento di 0,28 punti percentuali </t>
        </r>
      </text>
      <mc:AlternateContent>
        <mc:Choice Requires="v2">
          <commentPr autoFill="true" autoScale="false" colHidden="false" locked="false" rowHidden="false" textHAlign="justify" textVAlign="top">
            <anchor moveWithCells="false" sizeWithCells="false">
              <xdr:from>
                <xdr:col>22</xdr:col>
                <xdr:colOff>15</xdr:colOff>
                <xdr:row>11</xdr:row>
                <xdr:rowOff>9</xdr:rowOff>
              </xdr:from>
              <xdr:to>
                <xdr:col>24</xdr:col>
                <xdr:colOff>31</xdr:colOff>
                <xdr:row>15</xdr:row>
                <xdr:rowOff>12</xdr:rowOff>
              </xdr:to>
            </anchor>
          </commentPr>
        </mc:Choice>
        <mc:Fallback/>
      </mc:AlternateContent>
    </comment>
    <comment ref="V30" authorId="0">
      <text>
        <r>
          <rPr>
            <sz val="10"/>
            <rFont val="Noto Sans"/>
            <family val="2"/>
          </rPr>
          <t xml:space="preserve">Il saggio medio di variazione negli anni che vanno dal 2015 al 2020 nello stato della Slovacchia sono aumentati di 0,66 punti percentuali</t>
        </r>
      </text>
      <mc:AlternateContent>
        <mc:Choice Requires="v2">
          <commentPr autoFill="true" autoScale="false" colHidden="false" locked="false" rowHidden="false" textHAlign="justify" textVAlign="top">
            <anchor moveWithCells="false" sizeWithCells="false">
              <xdr:from>
                <xdr:col>22</xdr:col>
                <xdr:colOff>15</xdr:colOff>
                <xdr:row>28</xdr:row>
                <xdr:rowOff>9</xdr:rowOff>
              </xdr:from>
              <xdr:to>
                <xdr:col>24</xdr:col>
                <xdr:colOff>31</xdr:colOff>
                <xdr:row>32</xdr:row>
                <xdr:rowOff>12</xdr:rowOff>
              </xdr:to>
            </anchor>
          </commentPr>
        </mc:Choice>
        <mc:Fallback/>
      </mc:AlternateContent>
    </comment>
  </commentList>
</comments>
</file>

<file path=xl/sharedStrings.xml><?xml version="1.0" encoding="utf-8"?>
<sst xmlns="http://schemas.openxmlformats.org/spreadsheetml/2006/main" count="1035" uniqueCount="265">
  <si>
    <t xml:space="preserve">DEBITO PUBBLICO TRIMESTRALE</t>
  </si>
  <si>
    <t xml:space="preserve">DATASET</t>
  </si>
  <si>
    <t xml:space="preserve">Debito pubblico trimestrale</t>
  </si>
  <si>
    <t xml:space="preserve">UNITÀ DI MISURA</t>
  </si>
  <si>
    <t xml:space="preserve">Milioni di euro</t>
  </si>
  <si>
    <t xml:space="preserve">PERIODO DI OSSERVAZIONE</t>
  </si>
  <si>
    <t xml:space="preserve">Dal 2007 al 2010</t>
  </si>
  <si>
    <t xml:space="preserve">FREQUENZA</t>
  </si>
  <si>
    <t xml:space="preserve">Trimestri</t>
  </si>
  <si>
    <t xml:space="preserve">TEMPO</t>
  </si>
  <si>
    <t xml:space="preserve">UNIONE EUROPEA (27 paesi membri)</t>
  </si>
  <si>
    <t xml:space="preserve">Germania</t>
  </si>
  <si>
    <t xml:space="preserve">Spagna</t>
  </si>
  <si>
    <t xml:space="preserve">Francia</t>
  </si>
  <si>
    <t xml:space="preserve">Italia</t>
  </si>
  <si>
    <t xml:space="preserve">Lussemburgo</t>
  </si>
  <si>
    <t xml:space="preserve">2007-Q1</t>
  </si>
  <si>
    <t xml:space="preserve">2007-Q2</t>
  </si>
  <si>
    <t xml:space="preserve">2007-Q3</t>
  </si>
  <si>
    <t xml:space="preserve">2007-Q4</t>
  </si>
  <si>
    <t xml:space="preserve">2008-Q1</t>
  </si>
  <si>
    <t xml:space="preserve">2008-Q2</t>
  </si>
  <si>
    <t xml:space="preserve">2008-Q3</t>
  </si>
  <si>
    <t xml:space="preserve">2008-Q4</t>
  </si>
  <si>
    <t xml:space="preserve"> </t>
  </si>
  <si>
    <t xml:space="preserve">2009-Q1</t>
  </si>
  <si>
    <t xml:space="preserve">2009-Q2</t>
  </si>
  <si>
    <t xml:space="preserve">2009-Q3</t>
  </si>
  <si>
    <t xml:space="preserve">2009-Q4</t>
  </si>
  <si>
    <t xml:space="preserve">2010-Q1</t>
  </si>
  <si>
    <t xml:space="preserve">2010-Q2</t>
  </si>
  <si>
    <t xml:space="preserve">2010-Q3</t>
  </si>
  <si>
    <t xml:space="preserve">2010-Q4</t>
  </si>
  <si>
    <r>
      <rPr>
        <b val="true"/>
        <sz val="11"/>
        <color rgb="FF806000"/>
        <rFont val="Calibri"/>
        <family val="2"/>
        <charset val="1"/>
      </rPr>
      <t xml:space="preserve">NUMERI INDICI A BASE FISSA  (2007 Q1): I </t>
    </r>
    <r>
      <rPr>
        <b val="true"/>
        <vertAlign val="subscript"/>
        <sz val="11"/>
        <color rgb="FF806000"/>
        <rFont val="Calibri"/>
        <family val="2"/>
        <charset val="1"/>
      </rPr>
      <t xml:space="preserve">2007,Q1</t>
    </r>
  </si>
  <si>
    <r>
      <rPr>
        <b val="true"/>
        <sz val="11"/>
        <color rgb="FF806000"/>
        <rFont val="Calibri"/>
        <family val="2"/>
        <charset val="1"/>
      </rPr>
      <t xml:space="preserve">NUMERI INDICI A BASE MOBILE: I </t>
    </r>
    <r>
      <rPr>
        <b val="true"/>
        <vertAlign val="subscript"/>
        <sz val="11"/>
        <color rgb="FF806000"/>
        <rFont val="Calibri"/>
        <family val="2"/>
        <charset val="1"/>
      </rPr>
      <t xml:space="preserve">t-1/t</t>
    </r>
  </si>
  <si>
    <t xml:space="preserve">-</t>
  </si>
  <si>
    <t xml:space="preserve">NUMERI INDICI A CONCATEMENTO (DA BASE FISSA A BASE MOBILE)</t>
  </si>
  <si>
    <t xml:space="preserve">ANALISI CLASSICA</t>
  </si>
  <si>
    <t xml:space="preserve">UNIONE EUROPEA (27 paesi membri) </t>
  </si>
  <si>
    <t xml:space="preserve">Tempo</t>
  </si>
  <si>
    <r>
      <rPr>
        <b val="true"/>
        <sz val="11"/>
        <color rgb="FF806000"/>
        <rFont val="Calibri"/>
        <family val="2"/>
        <charset val="1"/>
      </rPr>
      <t xml:space="preserve">Y</t>
    </r>
    <r>
      <rPr>
        <b val="true"/>
        <vertAlign val="subscript"/>
        <sz val="11"/>
        <color rgb="FF806000"/>
        <rFont val="Calibri"/>
        <family val="2"/>
        <charset val="1"/>
      </rPr>
      <t xml:space="preserve">t</t>
    </r>
  </si>
  <si>
    <r>
      <rPr>
        <b val="true"/>
        <sz val="11"/>
        <color rgb="FF806000"/>
        <rFont val="Calibri"/>
        <family val="2"/>
        <charset val="1"/>
      </rPr>
      <t xml:space="preserve">MM</t>
    </r>
    <r>
      <rPr>
        <b val="true"/>
        <vertAlign val="subscript"/>
        <sz val="8"/>
        <color rgb="FF806000"/>
        <rFont val="Calibri"/>
        <family val="2"/>
        <charset val="1"/>
      </rPr>
      <t xml:space="preserve">t</t>
    </r>
  </si>
  <si>
    <r>
      <rPr>
        <b val="true"/>
        <sz val="11"/>
        <color rgb="FF806000"/>
        <rFont val="Calibri"/>
        <family val="2"/>
        <charset val="1"/>
      </rPr>
      <t xml:space="preserve">SE</t>
    </r>
    <r>
      <rPr>
        <b val="true"/>
        <vertAlign val="subscript"/>
        <sz val="11"/>
        <color rgb="FF806000"/>
        <rFont val="Calibri"/>
        <family val="2"/>
        <charset val="1"/>
      </rPr>
      <t xml:space="preserve">t</t>
    </r>
  </si>
  <si>
    <r>
      <rPr>
        <b val="true"/>
        <sz val="11"/>
        <color rgb="FF806000"/>
        <rFont val="Calibri"/>
        <family val="2"/>
        <charset val="1"/>
      </rPr>
      <t xml:space="preserve">S</t>
    </r>
    <r>
      <rPr>
        <b val="true"/>
        <vertAlign val="subscript"/>
        <sz val="11"/>
        <color rgb="FF806000"/>
        <rFont val="Calibri"/>
        <family val="2"/>
        <charset val="1"/>
      </rPr>
      <t xml:space="preserve">t</t>
    </r>
  </si>
  <si>
    <r>
      <rPr>
        <b val="true"/>
        <sz val="11"/>
        <color rgb="FF806000"/>
        <rFont val="Calibri"/>
        <family val="2"/>
        <charset val="1"/>
      </rPr>
      <t xml:space="preserve">D</t>
    </r>
    <r>
      <rPr>
        <b val="true"/>
        <vertAlign val="subscript"/>
        <sz val="11"/>
        <color rgb="FF806000"/>
        <rFont val="Calibri"/>
        <family val="2"/>
        <charset val="1"/>
      </rPr>
      <t xml:space="preserve">t</t>
    </r>
    <r>
      <rPr>
        <b val="true"/>
        <sz val="11"/>
        <color rgb="FF806000"/>
        <rFont val="Calibri"/>
        <family val="2"/>
        <charset val="1"/>
      </rPr>
      <t xml:space="preserve"> (Y</t>
    </r>
    <r>
      <rPr>
        <b val="true"/>
        <vertAlign val="subscript"/>
        <sz val="11"/>
        <color rgb="FF806000"/>
        <rFont val="Calibri"/>
        <family val="2"/>
        <charset val="1"/>
      </rPr>
      <t xml:space="preserve">t</t>
    </r>
    <r>
      <rPr>
        <b val="true"/>
        <sz val="11"/>
        <color rgb="FF806000"/>
        <rFont val="Calibri"/>
        <family val="2"/>
        <charset val="1"/>
      </rPr>
      <t xml:space="preserve">-S</t>
    </r>
    <r>
      <rPr>
        <b val="true"/>
        <vertAlign val="subscript"/>
        <sz val="11"/>
        <color rgb="FF806000"/>
        <rFont val="Calibri"/>
        <family val="2"/>
        <charset val="1"/>
      </rPr>
      <t xml:space="preserve">t</t>
    </r>
    <r>
      <rPr>
        <b val="true"/>
        <sz val="11"/>
        <color rgb="FF806000"/>
        <rFont val="Calibri"/>
        <family val="2"/>
        <charset val="1"/>
      </rPr>
      <t xml:space="preserve">)</t>
    </r>
  </si>
  <si>
    <r>
      <rPr>
        <b val="true"/>
        <sz val="11"/>
        <color rgb="FF806000"/>
        <rFont val="Calibri"/>
        <family val="2"/>
        <charset val="1"/>
      </rPr>
      <t xml:space="preserve">T</t>
    </r>
    <r>
      <rPr>
        <b val="true"/>
        <vertAlign val="subscript"/>
        <sz val="11"/>
        <color rgb="FF806000"/>
        <rFont val="Calibri"/>
        <family val="2"/>
        <charset val="1"/>
      </rPr>
      <t xml:space="preserve">t</t>
    </r>
  </si>
  <si>
    <r>
      <rPr>
        <b val="true"/>
        <sz val="11"/>
        <color rgb="FF806000"/>
        <rFont val="Calibri"/>
        <family val="2"/>
        <charset val="1"/>
      </rPr>
      <t xml:space="preserve">Y</t>
    </r>
    <r>
      <rPr>
        <b val="true"/>
        <vertAlign val="subscript"/>
        <sz val="11"/>
        <color rgb="FF806000"/>
        <rFont val="Calibri"/>
        <family val="2"/>
        <charset val="1"/>
      </rPr>
      <t xml:space="preserve">t</t>
    </r>
    <r>
      <rPr>
        <b val="true"/>
        <sz val="11"/>
        <color rgb="FF806000"/>
        <rFont val="Calibri"/>
        <family val="2"/>
        <charset val="1"/>
      </rPr>
      <t xml:space="preserve">*(s</t>
    </r>
    <r>
      <rPr>
        <b val="true"/>
        <vertAlign val="subscript"/>
        <sz val="11"/>
        <color rgb="FF806000"/>
        <rFont val="Calibri"/>
        <family val="2"/>
        <charset val="1"/>
      </rPr>
      <t xml:space="preserve">t</t>
    </r>
    <r>
      <rPr>
        <b val="true"/>
        <sz val="11"/>
        <color rgb="FF806000"/>
        <rFont val="Calibri"/>
        <family val="2"/>
        <charset val="1"/>
      </rPr>
      <t xml:space="preserve">+T</t>
    </r>
    <r>
      <rPr>
        <b val="true"/>
        <vertAlign val="subscript"/>
        <sz val="11"/>
        <color rgb="FF806000"/>
        <rFont val="Calibri"/>
        <family val="2"/>
        <charset val="1"/>
      </rPr>
      <t xml:space="preserve">t</t>
    </r>
    <r>
      <rPr>
        <b val="true"/>
        <sz val="11"/>
        <color rgb="FF806000"/>
        <rFont val="Calibri"/>
        <family val="2"/>
        <charset val="1"/>
      </rPr>
      <t xml:space="preserve">)</t>
    </r>
  </si>
  <si>
    <r>
      <rPr>
        <b val="true"/>
        <sz val="11"/>
        <color rgb="FF806000"/>
        <rFont val="Calibri"/>
        <family val="2"/>
        <charset val="1"/>
      </rPr>
      <t xml:space="preserve">R</t>
    </r>
    <r>
      <rPr>
        <b val="true"/>
        <vertAlign val="subscript"/>
        <sz val="11"/>
        <color rgb="FF806000"/>
        <rFont val="Calibri"/>
        <family val="2"/>
        <charset val="1"/>
      </rPr>
      <t xml:space="preserve">t</t>
    </r>
    <r>
      <rPr>
        <b val="true"/>
        <sz val="11"/>
        <color rgb="FF806000"/>
        <rFont val="Calibri"/>
        <family val="2"/>
        <charset val="1"/>
      </rPr>
      <t xml:space="preserve"> (Y</t>
    </r>
    <r>
      <rPr>
        <b val="true"/>
        <vertAlign val="subscript"/>
        <sz val="11"/>
        <color rgb="FF806000"/>
        <rFont val="Calibri"/>
        <family val="2"/>
        <charset val="1"/>
      </rPr>
      <t xml:space="preserve">t</t>
    </r>
    <r>
      <rPr>
        <b val="true"/>
        <sz val="11"/>
        <color rgb="FF806000"/>
        <rFont val="Calibri"/>
        <family val="2"/>
        <charset val="1"/>
      </rPr>
      <t xml:space="preserve">-Y</t>
    </r>
    <r>
      <rPr>
        <b val="true"/>
        <vertAlign val="subscript"/>
        <sz val="11"/>
        <color rgb="FF806000"/>
        <rFont val="Calibri"/>
        <family val="2"/>
        <charset val="1"/>
      </rPr>
      <t xml:space="preserve">t</t>
    </r>
    <r>
      <rPr>
        <b val="true"/>
        <sz val="11"/>
        <color rgb="FF806000"/>
        <rFont val="Calibri"/>
        <family val="2"/>
        <charset val="1"/>
      </rPr>
      <t xml:space="preserve">*)</t>
    </r>
  </si>
  <si>
    <r>
      <rPr>
        <b val="true"/>
        <sz val="10"/>
        <color rgb="FF806000"/>
        <rFont val="Arial"/>
        <family val="2"/>
        <charset val="1"/>
      </rPr>
      <t xml:space="preserve">R</t>
    </r>
    <r>
      <rPr>
        <b val="true"/>
        <vertAlign val="subscript"/>
        <sz val="10"/>
        <color rgb="FF806000"/>
        <rFont val="Arial"/>
        <family val="2"/>
        <charset val="1"/>
      </rPr>
      <t xml:space="preserve">st</t>
    </r>
  </si>
  <si>
    <r>
      <rPr>
        <b val="true"/>
        <sz val="11"/>
        <color rgb="FF806000"/>
        <rFont val="Calibri"/>
        <family val="2"/>
        <charset val="1"/>
      </rPr>
      <t xml:space="preserve">Stima della componente stagionale</t>
    </r>
    <r>
      <rPr>
        <sz val="11"/>
        <color rgb="FF806000"/>
        <rFont val="Calibri"/>
        <family val="2"/>
        <charset val="1"/>
      </rPr>
      <t xml:space="preserve"> </t>
    </r>
  </si>
  <si>
    <r>
      <rPr>
        <sz val="11"/>
        <color rgb="FF000000"/>
        <rFont val="Calibri"/>
        <family val="2"/>
        <charset val="1"/>
      </rPr>
      <t xml:space="preserve">S</t>
    </r>
    <r>
      <rPr>
        <vertAlign val="subscript"/>
        <sz val="11"/>
        <color rgb="FF000000"/>
        <rFont val="Calibri"/>
        <family val="2"/>
        <charset val="1"/>
      </rPr>
      <t xml:space="preserve">t</t>
    </r>
  </si>
  <si>
    <t xml:space="preserve">-19871162,72</t>
  </si>
  <si>
    <t xml:space="preserve">Q1</t>
  </si>
  <si>
    <t xml:space="preserve">-17825417,54</t>
  </si>
  <si>
    <t xml:space="preserve">-18752560,75</t>
  </si>
  <si>
    <t xml:space="preserve">-21114701,24</t>
  </si>
  <si>
    <t xml:space="preserve">-21791971,35</t>
  </si>
  <si>
    <t xml:space="preserve">-17967678,49</t>
  </si>
  <si>
    <t xml:space="preserve">Q2</t>
  </si>
  <si>
    <t xml:space="preserve">-17858818,06</t>
  </si>
  <si>
    <t xml:space="preserve">-19304823,31</t>
  </si>
  <si>
    <t xml:space="preserve">-21484461,38</t>
  </si>
  <si>
    <t xml:space="preserve">-13222611,2</t>
  </si>
  <si>
    <t xml:space="preserve">-16162826,78</t>
  </si>
  <si>
    <t xml:space="preserve">Q3</t>
  </si>
  <si>
    <t xml:space="preserve">-18048338,78</t>
  </si>
  <si>
    <t xml:space="preserve">-20093697,81</t>
  </si>
  <si>
    <t xml:space="preserve">-21918560,56</t>
  </si>
  <si>
    <t xml:space="preserve">-4590709,95</t>
  </si>
  <si>
    <t xml:space="preserve">-14274692,21</t>
  </si>
  <si>
    <t xml:space="preserve">Q4</t>
  </si>
  <si>
    <t xml:space="preserve">-18400225,41</t>
  </si>
  <si>
    <t xml:space="preserve">-20715128,51</t>
  </si>
  <si>
    <t xml:space="preserve">-22423784,3</t>
  </si>
  <si>
    <t xml:space="preserve">4440369,4</t>
  </si>
  <si>
    <r>
      <rPr>
        <sz val="11"/>
        <color theme="7" tint="-0.5"/>
        <rFont val="Symbol"/>
        <family val="1"/>
        <charset val="2"/>
      </rPr>
      <t xml:space="preserve">D</t>
    </r>
    <r>
      <rPr>
        <vertAlign val="subscript"/>
        <sz val="11"/>
        <color theme="7" tint="-0.5"/>
        <rFont val="Calibri"/>
        <family val="2"/>
        <charset val="1"/>
      </rPr>
      <t xml:space="preserve">trimestrale</t>
    </r>
    <r>
      <rPr>
        <sz val="11"/>
        <color theme="7" tint="-0.5"/>
        <rFont val="Calibri"/>
        <family val="2"/>
        <charset val="1"/>
      </rPr>
      <t xml:space="preserve">=</t>
    </r>
  </si>
  <si>
    <r>
      <rPr>
        <sz val="11"/>
        <color theme="7" tint="-0.5"/>
        <rFont val="Symbol"/>
        <family val="1"/>
        <charset val="2"/>
      </rPr>
      <t xml:space="preserve">s</t>
    </r>
    <r>
      <rPr>
        <sz val="11"/>
        <color theme="7" tint="-0.5"/>
        <rFont val="Calibri"/>
        <family val="2"/>
        <charset val="1"/>
      </rPr>
      <t xml:space="preserve">=</t>
    </r>
  </si>
  <si>
    <t xml:space="preserve">Xinf</t>
  </si>
  <si>
    <t xml:space="preserve">Xsup</t>
  </si>
  <si>
    <r>
      <rPr>
        <b val="true"/>
        <sz val="11"/>
        <color theme="7" tint="-0.5"/>
        <rFont val="Calibri"/>
        <family val="2"/>
        <charset val="1"/>
      </rPr>
      <t xml:space="preserve">f(R</t>
    </r>
    <r>
      <rPr>
        <b val="true"/>
        <vertAlign val="subscript"/>
        <sz val="11"/>
        <color theme="7" tint="-0.5"/>
        <rFont val="Calibri"/>
        <family val="2"/>
        <charset val="1"/>
      </rPr>
      <t xml:space="preserve">st</t>
    </r>
    <r>
      <rPr>
        <b val="true"/>
        <sz val="11"/>
        <color theme="7" tint="-0.5"/>
        <rFont val="Calibri"/>
        <family val="2"/>
        <charset val="1"/>
      </rPr>
      <t xml:space="preserve">)</t>
    </r>
  </si>
  <si>
    <t xml:space="preserve">&lt;</t>
  </si>
  <si>
    <t xml:space="preserve">Media</t>
  </si>
  <si>
    <t xml:space="preserve">Varianza</t>
  </si>
  <si>
    <t xml:space="preserve">Minimo</t>
  </si>
  <si>
    <t xml:space="preserve">&gt;</t>
  </si>
  <si>
    <t xml:space="preserve">Massimo</t>
  </si>
  <si>
    <t xml:space="preserve">SQM</t>
  </si>
  <si>
    <r>
      <rPr>
        <b val="true"/>
        <sz val="11"/>
        <color theme="7" tint="-0.5"/>
        <rFont val="Calibri"/>
        <family val="2"/>
        <charset val="1"/>
      </rPr>
      <t xml:space="preserve">Y</t>
    </r>
    <r>
      <rPr>
        <b val="true"/>
        <vertAlign val="subscript"/>
        <sz val="11"/>
        <color theme="7" tint="-0.5"/>
        <rFont val="Calibri"/>
        <family val="2"/>
        <charset val="1"/>
      </rPr>
      <t xml:space="preserve">t</t>
    </r>
  </si>
  <si>
    <r>
      <rPr>
        <b val="true"/>
        <sz val="11"/>
        <color theme="7" tint="-0.5"/>
        <rFont val="Calibri"/>
        <family val="2"/>
        <charset val="1"/>
      </rPr>
      <t xml:space="preserve">MM</t>
    </r>
    <r>
      <rPr>
        <b val="true"/>
        <vertAlign val="subscript"/>
        <sz val="8"/>
        <color theme="7" tint="-0.5"/>
        <rFont val="Calibri"/>
        <family val="2"/>
        <charset val="1"/>
      </rPr>
      <t xml:space="preserve">t</t>
    </r>
  </si>
  <si>
    <r>
      <rPr>
        <b val="true"/>
        <sz val="11"/>
        <color theme="7" tint="-0.5"/>
        <rFont val="Calibri"/>
        <family val="2"/>
        <charset val="1"/>
      </rPr>
      <t xml:space="preserve">SE</t>
    </r>
    <r>
      <rPr>
        <b val="true"/>
        <vertAlign val="subscript"/>
        <sz val="11"/>
        <color theme="7" tint="-0.5"/>
        <rFont val="Calibri"/>
        <family val="2"/>
        <charset val="1"/>
      </rPr>
      <t xml:space="preserve">t</t>
    </r>
  </si>
  <si>
    <r>
      <rPr>
        <b val="true"/>
        <sz val="11"/>
        <color theme="7" tint="-0.5"/>
        <rFont val="Calibri"/>
        <family val="2"/>
        <charset val="1"/>
      </rPr>
      <t xml:space="preserve">S</t>
    </r>
    <r>
      <rPr>
        <b val="true"/>
        <vertAlign val="subscript"/>
        <sz val="11"/>
        <color theme="7" tint="-0.5"/>
        <rFont val="Calibri"/>
        <family val="2"/>
        <charset val="1"/>
      </rPr>
      <t xml:space="preserve">t</t>
    </r>
  </si>
  <si>
    <r>
      <rPr>
        <b val="true"/>
        <sz val="11"/>
        <color theme="7" tint="-0.5"/>
        <rFont val="Calibri"/>
        <family val="2"/>
        <charset val="1"/>
      </rPr>
      <t xml:space="preserve">D</t>
    </r>
    <r>
      <rPr>
        <b val="true"/>
        <vertAlign val="subscript"/>
        <sz val="11"/>
        <color theme="7" tint="-0.5"/>
        <rFont val="Calibri"/>
        <family val="2"/>
        <charset val="1"/>
      </rPr>
      <t xml:space="preserve">t</t>
    </r>
    <r>
      <rPr>
        <b val="true"/>
        <sz val="11"/>
        <color theme="7" tint="-0.5"/>
        <rFont val="Calibri"/>
        <family val="2"/>
        <charset val="1"/>
      </rPr>
      <t xml:space="preserve"> (Y</t>
    </r>
    <r>
      <rPr>
        <b val="true"/>
        <vertAlign val="subscript"/>
        <sz val="11"/>
        <color theme="7" tint="-0.5"/>
        <rFont val="Calibri"/>
        <family val="2"/>
        <charset val="1"/>
      </rPr>
      <t xml:space="preserve">t</t>
    </r>
    <r>
      <rPr>
        <b val="true"/>
        <sz val="11"/>
        <color theme="7" tint="-0.5"/>
        <rFont val="Calibri"/>
        <family val="2"/>
        <charset val="1"/>
      </rPr>
      <t xml:space="preserve">-S</t>
    </r>
    <r>
      <rPr>
        <b val="true"/>
        <vertAlign val="subscript"/>
        <sz val="11"/>
        <color theme="7" tint="-0.5"/>
        <rFont val="Calibri"/>
        <family val="2"/>
        <charset val="1"/>
      </rPr>
      <t xml:space="preserve">t</t>
    </r>
    <r>
      <rPr>
        <b val="true"/>
        <sz val="11"/>
        <color theme="7" tint="-0.5"/>
        <rFont val="Calibri"/>
        <family val="2"/>
        <charset val="1"/>
      </rPr>
      <t xml:space="preserve">)</t>
    </r>
  </si>
  <si>
    <r>
      <rPr>
        <b val="true"/>
        <sz val="11"/>
        <color theme="7" tint="-0.5"/>
        <rFont val="Calibri"/>
        <family val="2"/>
        <charset val="1"/>
      </rPr>
      <t xml:space="preserve">T</t>
    </r>
    <r>
      <rPr>
        <b val="true"/>
        <vertAlign val="subscript"/>
        <sz val="11"/>
        <color theme="7" tint="-0.5"/>
        <rFont val="Calibri"/>
        <family val="2"/>
        <charset val="1"/>
      </rPr>
      <t xml:space="preserve">t</t>
    </r>
  </si>
  <si>
    <r>
      <rPr>
        <b val="true"/>
        <sz val="11"/>
        <color theme="7" tint="-0.5"/>
        <rFont val="Calibri"/>
        <family val="2"/>
        <charset val="1"/>
      </rPr>
      <t xml:space="preserve">Y</t>
    </r>
    <r>
      <rPr>
        <b val="true"/>
        <vertAlign val="subscript"/>
        <sz val="11"/>
        <color theme="7" tint="-0.5"/>
        <rFont val="Calibri"/>
        <family val="2"/>
        <charset val="1"/>
      </rPr>
      <t xml:space="preserve">t</t>
    </r>
    <r>
      <rPr>
        <b val="true"/>
        <sz val="11"/>
        <color theme="7" tint="-0.5"/>
        <rFont val="Calibri"/>
        <family val="2"/>
        <charset val="1"/>
      </rPr>
      <t xml:space="preserve">*(s</t>
    </r>
    <r>
      <rPr>
        <b val="true"/>
        <vertAlign val="subscript"/>
        <sz val="11"/>
        <color theme="7" tint="-0.5"/>
        <rFont val="Calibri"/>
        <family val="2"/>
        <charset val="1"/>
      </rPr>
      <t xml:space="preserve">t</t>
    </r>
    <r>
      <rPr>
        <b val="true"/>
        <sz val="11"/>
        <color theme="7" tint="-0.5"/>
        <rFont val="Calibri"/>
        <family val="2"/>
        <charset val="1"/>
      </rPr>
      <t xml:space="preserve">+T</t>
    </r>
    <r>
      <rPr>
        <b val="true"/>
        <vertAlign val="subscript"/>
        <sz val="11"/>
        <color theme="7" tint="-0.5"/>
        <rFont val="Calibri"/>
        <family val="2"/>
        <charset val="1"/>
      </rPr>
      <t xml:space="preserve">t</t>
    </r>
    <r>
      <rPr>
        <b val="true"/>
        <sz val="11"/>
        <color theme="7" tint="-0.5"/>
        <rFont val="Calibri"/>
        <family val="2"/>
        <charset val="1"/>
      </rPr>
      <t xml:space="preserve">)</t>
    </r>
  </si>
  <si>
    <r>
      <rPr>
        <b val="true"/>
        <sz val="11"/>
        <color theme="7" tint="-0.5"/>
        <rFont val="Calibri"/>
        <family val="2"/>
        <charset val="1"/>
      </rPr>
      <t xml:space="preserve">R</t>
    </r>
    <r>
      <rPr>
        <b val="true"/>
        <vertAlign val="subscript"/>
        <sz val="11"/>
        <color theme="7" tint="-0.5"/>
        <rFont val="Calibri"/>
        <family val="2"/>
        <charset val="1"/>
      </rPr>
      <t xml:space="preserve">t</t>
    </r>
    <r>
      <rPr>
        <b val="true"/>
        <sz val="11"/>
        <color theme="7" tint="-0.5"/>
        <rFont val="Calibri"/>
        <family val="2"/>
        <charset val="1"/>
      </rPr>
      <t xml:space="preserve"> (Y</t>
    </r>
    <r>
      <rPr>
        <b val="true"/>
        <vertAlign val="subscript"/>
        <sz val="11"/>
        <color theme="7" tint="-0.5"/>
        <rFont val="Calibri"/>
        <family val="2"/>
        <charset val="1"/>
      </rPr>
      <t xml:space="preserve">t</t>
    </r>
    <r>
      <rPr>
        <b val="true"/>
        <sz val="11"/>
        <color theme="7" tint="-0.5"/>
        <rFont val="Calibri"/>
        <family val="2"/>
        <charset val="1"/>
      </rPr>
      <t xml:space="preserve">-Y</t>
    </r>
    <r>
      <rPr>
        <b val="true"/>
        <vertAlign val="subscript"/>
        <sz val="11"/>
        <color theme="7" tint="-0.5"/>
        <rFont val="Calibri"/>
        <family val="2"/>
        <charset val="1"/>
      </rPr>
      <t xml:space="preserve">t</t>
    </r>
    <r>
      <rPr>
        <b val="true"/>
        <sz val="11"/>
        <color theme="7" tint="-0.5"/>
        <rFont val="Calibri"/>
        <family val="2"/>
        <charset val="1"/>
      </rPr>
      <t xml:space="preserve">*)</t>
    </r>
  </si>
  <si>
    <t xml:space="preserve">Stima della componente stagionale </t>
  </si>
  <si>
    <r>
      <rPr>
        <sz val="11"/>
        <color theme="1"/>
        <rFont val="Calibri"/>
        <family val="2"/>
        <charset val="1"/>
      </rPr>
      <t xml:space="preserve">S</t>
    </r>
    <r>
      <rPr>
        <vertAlign val="subscript"/>
        <sz val="11"/>
        <color theme="1"/>
        <rFont val="Calibri"/>
        <family val="2"/>
        <charset val="1"/>
      </rPr>
      <t xml:space="preserve">t</t>
    </r>
  </si>
  <si>
    <r>
      <rPr>
        <b val="true"/>
        <sz val="11"/>
        <color theme="7" tint="-0.5"/>
        <rFont val="Calibri"/>
        <family val="2"/>
        <charset val="1"/>
      </rPr>
      <t xml:space="preserve">Stima della componente stagionale</t>
    </r>
    <r>
      <rPr>
        <sz val="11"/>
        <color theme="7" tint="-0.5"/>
        <rFont val="Calibri"/>
        <family val="2"/>
        <charset val="1"/>
      </rPr>
      <t xml:space="preserve"> </t>
    </r>
  </si>
  <si>
    <t xml:space="preserve">St</t>
  </si>
  <si>
    <t xml:space="preserve">stima della componente stagionale </t>
  </si>
  <si>
    <r>
      <rPr>
        <sz val="11"/>
        <color rgb="FF806000"/>
        <rFont val="Symbol"/>
        <family val="1"/>
        <charset val="2"/>
      </rPr>
      <t xml:space="preserve">D</t>
    </r>
    <r>
      <rPr>
        <vertAlign val="subscript"/>
        <sz val="11"/>
        <color rgb="FF806000"/>
        <rFont val="Calibri"/>
        <family val="2"/>
        <charset val="1"/>
      </rPr>
      <t xml:space="preserve">trimestrale</t>
    </r>
    <r>
      <rPr>
        <sz val="11"/>
        <color rgb="FF806000"/>
        <rFont val="Calibri"/>
        <family val="2"/>
        <charset val="1"/>
      </rPr>
      <t xml:space="preserve">=</t>
    </r>
  </si>
  <si>
    <t xml:space="preserve">Data browser: https://ec.europa.eu/eurostat/databrowser/view/gov_10q_ggdebt/default/table?lang=en&amp;category=gov.gov_gfs10.gov_10q</t>
  </si>
  <si>
    <t xml:space="preserve">FENOMENO DI STUDIO:</t>
  </si>
  <si>
    <t xml:space="preserve">EMIGRAZIONE E I SUOI CORRELATI</t>
  </si>
  <si>
    <t xml:space="preserve">OBBIETTIVO DEL REPORT: </t>
  </si>
  <si>
    <t xml:space="preserve">VARIABILI UTILIZZATE</t>
  </si>
  <si>
    <t xml:space="preserve">Variabile dipendente:</t>
  </si>
  <si>
    <t xml:space="preserve">Variabili indipedenti:</t>
  </si>
  <si>
    <t xml:space="preserve">STATI</t>
  </si>
  <si>
    <t xml:space="preserve">EMIGRAZIONE</t>
  </si>
  <si>
    <t xml:space="preserve">immigrazione 2015</t>
  </si>
  <si>
    <t xml:space="preserve">Numero medio di ore di lavoro settimanali  2015</t>
  </si>
  <si>
    <t xml:space="preserve">pensioni 2015</t>
  </si>
  <si>
    <t xml:space="preserve">persone a rischio povertà 2015</t>
  </si>
  <si>
    <t xml:space="preserve">PIL reale pro capite</t>
  </si>
  <si>
    <t xml:space="preserve">Occupazione e attività </t>
  </si>
  <si>
    <t xml:space="preserve">Austria</t>
  </si>
  <si>
    <t xml:space="preserve">Belgio</t>
  </si>
  <si>
    <t xml:space="preserve">Bulgaria</t>
  </si>
  <si>
    <t xml:space="preserve">Croazia</t>
  </si>
  <si>
    <t xml:space="preserve">Cipro</t>
  </si>
  <si>
    <t xml:space="preserve">Repubblica Ceca</t>
  </si>
  <si>
    <t xml:space="preserve">Danimarca</t>
  </si>
  <si>
    <t xml:space="preserve">Estonia</t>
  </si>
  <si>
    <t xml:space="preserve">Finlandia</t>
  </si>
  <si>
    <t xml:space="preserve">Grecia</t>
  </si>
  <si>
    <t xml:space="preserve">Ungheria</t>
  </si>
  <si>
    <t xml:space="preserve">Islanda</t>
  </si>
  <si>
    <t xml:space="preserve">Irlanda</t>
  </si>
  <si>
    <t xml:space="preserve">Lettonia</t>
  </si>
  <si>
    <t xml:space="preserve">Lituania</t>
  </si>
  <si>
    <t xml:space="preserve">Malta</t>
  </si>
  <si>
    <t xml:space="preserve">Montenegro</t>
  </si>
  <si>
    <t xml:space="preserve">Paesi Bassi</t>
  </si>
  <si>
    <t xml:space="preserve">Macedonia del Nord</t>
  </si>
  <si>
    <t xml:space="preserve">Norvegia</t>
  </si>
  <si>
    <t xml:space="preserve">Polonia</t>
  </si>
  <si>
    <t xml:space="preserve">Portogallo</t>
  </si>
  <si>
    <t xml:space="preserve">Romania</t>
  </si>
  <si>
    <t xml:space="preserve">Serbia</t>
  </si>
  <si>
    <t xml:space="preserve">Slovacchia</t>
  </si>
  <si>
    <t xml:space="preserve">Slovenia</t>
  </si>
  <si>
    <t xml:space="preserve">Svezia</t>
  </si>
  <si>
    <t xml:space="preserve">Svizzera</t>
  </si>
  <si>
    <t xml:space="preserve">Turchia</t>
  </si>
  <si>
    <t xml:space="preserve">Regno Unito</t>
  </si>
  <si>
    <t xml:space="preserve">MEDIA</t>
  </si>
  <si>
    <t xml:space="preserve">VARIANZA</t>
  </si>
  <si>
    <t xml:space="preserve">VERIFICA DI IPOTESI SULLA CORRELAZIONE</t>
  </si>
  <si>
    <r>
      <rPr>
        <sz val="12"/>
        <rFont val="Arial"/>
        <family val="0"/>
        <charset val="1"/>
      </rPr>
      <t xml:space="preserve">H</t>
    </r>
    <r>
      <rPr>
        <vertAlign val="subscript"/>
        <sz val="12"/>
        <rFont val="Arial"/>
        <family val="2"/>
        <charset val="1"/>
      </rPr>
      <t xml:space="preserve">0</t>
    </r>
    <r>
      <rPr>
        <sz val="12"/>
        <rFont val="Arial"/>
        <family val="2"/>
        <charset val="1"/>
      </rPr>
      <t xml:space="preserve"> : ρ= 0 </t>
    </r>
  </si>
  <si>
    <r>
      <rPr>
        <sz val="12"/>
        <rFont val="Arial"/>
        <family val="0"/>
        <charset val="1"/>
      </rPr>
      <t xml:space="preserve">VS H</t>
    </r>
    <r>
      <rPr>
        <vertAlign val="subscript"/>
        <sz val="12"/>
        <rFont val="Arial"/>
        <family val="2"/>
        <charset val="1"/>
      </rPr>
      <t xml:space="preserve">1</t>
    </r>
    <r>
      <rPr>
        <sz val="12"/>
        <rFont val="Arial"/>
        <family val="2"/>
        <charset val="1"/>
      </rPr>
      <t xml:space="preserve">: ρ</t>
    </r>
    <r>
      <rPr>
        <sz val="12"/>
        <rFont val="Calibri"/>
        <family val="2"/>
        <charset val="1"/>
      </rPr>
      <t xml:space="preserve">≠</t>
    </r>
    <r>
      <rPr>
        <sz val="12"/>
        <rFont val="Arial"/>
        <family val="2"/>
        <charset val="1"/>
      </rPr>
      <t xml:space="preserve">0 </t>
    </r>
  </si>
  <si>
    <t xml:space="preserve">regole decisionale: </t>
  </si>
  <si>
    <r>
      <rPr>
        <sz val="11"/>
        <color theme="1"/>
        <rFont val="Calibri"/>
        <family val="2"/>
        <charset val="1"/>
      </rPr>
      <t xml:space="preserve">Rifiutare H</t>
    </r>
    <r>
      <rPr>
        <vertAlign val="subscript"/>
        <sz val="10"/>
        <rFont val="Arial"/>
        <family val="2"/>
        <charset val="1"/>
      </rPr>
      <t xml:space="preserve">0</t>
    </r>
    <r>
      <rPr>
        <sz val="10"/>
        <rFont val="Arial"/>
        <family val="2"/>
        <charset val="1"/>
      </rPr>
      <t xml:space="preserve"> se t &lt; -t</t>
    </r>
    <r>
      <rPr>
        <vertAlign val="subscript"/>
        <sz val="10"/>
        <rFont val="Arial"/>
        <family val="2"/>
        <charset val="1"/>
      </rPr>
      <t xml:space="preserve">n-2, α/2</t>
    </r>
  </si>
  <si>
    <r>
      <rPr>
        <sz val="10"/>
        <rFont val="Arial"/>
        <family val="0"/>
        <charset val="1"/>
      </rPr>
      <t xml:space="preserve">o t &gt; t</t>
    </r>
    <r>
      <rPr>
        <vertAlign val="subscript"/>
        <sz val="10"/>
        <rFont val="Arial"/>
        <family val="2"/>
        <charset val="1"/>
      </rPr>
      <t xml:space="preserve">n-2, α/2</t>
    </r>
  </si>
  <si>
    <t xml:space="preserve">i valori critici di una distribuzione T di student sono: </t>
  </si>
  <si>
    <t xml:space="preserve">±</t>
  </si>
  <si>
    <t xml:space="preserve">1)verifico se vi è significatività nelle correlazione tra emigrazione 2015 ed immigrazione 2015</t>
  </si>
  <si>
    <t xml:space="preserve">T=</t>
  </si>
  <si>
    <t xml:space="preserve">RIFIUTO H0</t>
  </si>
  <si>
    <t xml:space="preserve">CONFERMO LA PRESENZA DI CORRELAZIONE </t>
  </si>
  <si>
    <t xml:space="preserve">2)verifico se vi è significatività nelle correlazione tra emigrazione 2015 e numero medio di ore di lavoro settimanali 2015</t>
  </si>
  <si>
    <t xml:space="preserve">ACCETTO H0</t>
  </si>
  <si>
    <t xml:space="preserve">CONFERMO L'ASSENZA DI CORRELAZIONE</t>
  </si>
  <si>
    <t xml:space="preserve">3)verifico se vi è significatività nelle correlazione tra emigrazione 2015 e pensioni 2015</t>
  </si>
  <si>
    <t xml:space="preserve">CONFERMO LA PRESENZA DI CORRELAZIONE</t>
  </si>
  <si>
    <t xml:space="preserve">4)verifico se vi è significatività nelle correlazione tra emigrazione 2015 e persone a rischi opovertà 2015</t>
  </si>
  <si>
    <t xml:space="preserve">CONFERMO LA PRESENZA DI CORRRELAZIONE</t>
  </si>
  <si>
    <t xml:space="preserve">5)verifico se vi è significatività nelle correlazione tra emigrazione 2015 e PILpro capite 2015</t>
  </si>
  <si>
    <t xml:space="preserve">ACCETTO  H0</t>
  </si>
  <si>
    <t xml:space="preserve">CONFERMO L'ASSENZA DI CORREAZIONE</t>
  </si>
  <si>
    <t xml:space="preserve">6) verifico se vi è significatività nelle correlazione tra emigrazione 2015 ed occupazione e attività 2015</t>
  </si>
  <si>
    <t xml:space="preserve">OUTPUT RIEPILOGO</t>
  </si>
  <si>
    <t xml:space="preserve">Statistica della regressione</t>
  </si>
  <si>
    <t xml:space="preserve">R multiplo</t>
  </si>
  <si>
    <t xml:space="preserve">R al quadrato</t>
  </si>
  <si>
    <t xml:space="preserve">R al quadrato corretto</t>
  </si>
  <si>
    <t xml:space="preserve">Errore standard</t>
  </si>
  <si>
    <t xml:space="preserve">Osservazioni</t>
  </si>
  <si>
    <t xml:space="preserve">ANALISI VARIANZA</t>
  </si>
  <si>
    <t xml:space="preserve">gdl</t>
  </si>
  <si>
    <t xml:space="preserve">SQ</t>
  </si>
  <si>
    <t xml:space="preserve">MQ</t>
  </si>
  <si>
    <t xml:space="preserve">F</t>
  </si>
  <si>
    <t xml:space="preserve">Significatività F</t>
  </si>
  <si>
    <t xml:space="preserve">Regressione</t>
  </si>
  <si>
    <t xml:space="preserve">Residuo</t>
  </si>
  <si>
    <t xml:space="preserve">Totale</t>
  </si>
  <si>
    <t xml:space="preserve">Coefficienti</t>
  </si>
  <si>
    <t xml:space="preserve">Stat t</t>
  </si>
  <si>
    <t xml:space="preserve">Valore di significatività</t>
  </si>
  <si>
    <t xml:space="preserve">Inferiore 95%</t>
  </si>
  <si>
    <t xml:space="preserve">Superiore 95%</t>
  </si>
  <si>
    <t xml:space="preserve">Inferiore 95,0%</t>
  </si>
  <si>
    <t xml:space="preserve">Superiore 95,0%</t>
  </si>
  <si>
    <t xml:space="preserve">Intercetta</t>
  </si>
  <si>
    <t xml:space="preserve">OUTPUT RESIDUI</t>
  </si>
  <si>
    <t xml:space="preserve">OUTPUT DATI</t>
  </si>
  <si>
    <t xml:space="preserve">Osservazione</t>
  </si>
  <si>
    <t xml:space="preserve">Previsto EMIGRAZIONE</t>
  </si>
  <si>
    <t xml:space="preserve">Residui</t>
  </si>
  <si>
    <t xml:space="preserve">Percentile</t>
  </si>
  <si>
    <t xml:space="preserve">emigrazione 2016</t>
  </si>
  <si>
    <t xml:space="preserve">immigrazione 2016</t>
  </si>
  <si>
    <t xml:space="preserve">pensioni 2016</t>
  </si>
  <si>
    <t xml:space="preserve">emigrazione 2017 </t>
  </si>
  <si>
    <t xml:space="preserve">immigrazione 2017</t>
  </si>
  <si>
    <t xml:space="preserve">pensioni2017</t>
  </si>
  <si>
    <r>
      <rPr>
        <b val="true"/>
        <sz val="11"/>
        <color theme="1"/>
        <rFont val="Calibri"/>
        <family val="2"/>
        <charset val="1"/>
      </rPr>
      <t xml:space="preserve">∆</t>
    </r>
    <r>
      <rPr>
        <b val="true"/>
        <vertAlign val="subscript"/>
        <sz val="11"/>
        <color theme="1"/>
        <rFont val="Calibri"/>
        <family val="2"/>
        <charset val="1"/>
      </rPr>
      <t xml:space="preserve">i </t>
    </r>
    <r>
      <rPr>
        <b val="true"/>
        <sz val="11"/>
        <color theme="1"/>
        <rFont val="Calibri"/>
        <family val="2"/>
        <charset val="1"/>
      </rPr>
      <t xml:space="preserve">per ogni X</t>
    </r>
    <r>
      <rPr>
        <b val="true"/>
        <vertAlign val="subscript"/>
        <sz val="11"/>
        <color theme="1"/>
        <rFont val="Calibri"/>
        <family val="2"/>
        <charset val="1"/>
      </rPr>
      <t xml:space="preserve">i</t>
    </r>
  </si>
  <si>
    <r>
      <rPr>
        <sz val="11"/>
        <color rgb="FFC00000"/>
        <rFont val="Calibri"/>
        <family val="2"/>
        <charset val="1"/>
      </rPr>
      <t xml:space="preserve">β</t>
    </r>
    <r>
      <rPr>
        <vertAlign val="subscript"/>
        <sz val="11"/>
        <color rgb="FFC00000"/>
        <rFont val="Calibri"/>
        <family val="2"/>
        <charset val="1"/>
      </rPr>
      <t xml:space="preserve">0</t>
    </r>
    <r>
      <rPr>
        <sz val="11"/>
        <color rgb="FFC00000"/>
        <rFont val="Calibri"/>
        <family val="2"/>
        <charset val="1"/>
      </rPr>
      <t xml:space="preserve">=</t>
    </r>
  </si>
  <si>
    <r>
      <rPr>
        <sz val="11"/>
        <color rgb="FFC00000"/>
        <rFont val="Calibri"/>
        <family val="2"/>
        <charset val="1"/>
      </rPr>
      <t xml:space="preserve">Y*= β</t>
    </r>
    <r>
      <rPr>
        <vertAlign val="subscript"/>
        <sz val="11"/>
        <color rgb="FFC00000"/>
        <rFont val="Calibri"/>
        <family val="2"/>
        <charset val="1"/>
      </rPr>
      <t xml:space="preserve">0</t>
    </r>
    <r>
      <rPr>
        <sz val="11"/>
        <color rgb="FFC00000"/>
        <rFont val="Calibri"/>
        <family val="2"/>
        <charset val="1"/>
      </rPr>
      <t xml:space="preserve">+ β</t>
    </r>
    <r>
      <rPr>
        <vertAlign val="subscript"/>
        <sz val="11"/>
        <color rgb="FFC00000"/>
        <rFont val="Calibri"/>
        <family val="2"/>
        <charset val="1"/>
      </rPr>
      <t xml:space="preserve">1</t>
    </r>
    <r>
      <rPr>
        <sz val="11"/>
        <color rgb="FFC00000"/>
        <rFont val="Calibri"/>
        <family val="2"/>
        <charset val="1"/>
      </rPr>
      <t xml:space="preserve">*X+ β</t>
    </r>
    <r>
      <rPr>
        <vertAlign val="subscript"/>
        <sz val="11"/>
        <color rgb="FFC00000"/>
        <rFont val="Calibri"/>
        <family val="2"/>
        <charset val="1"/>
      </rPr>
      <t xml:space="preserve">2</t>
    </r>
    <r>
      <rPr>
        <sz val="11"/>
        <color rgb="FFC00000"/>
        <rFont val="Calibri"/>
        <family val="2"/>
        <charset val="1"/>
      </rPr>
      <t xml:space="preserve">*X</t>
    </r>
  </si>
  <si>
    <r>
      <rPr>
        <sz val="11"/>
        <color rgb="FFC00000"/>
        <rFont val="Calibri"/>
        <family val="2"/>
        <charset val="1"/>
      </rPr>
      <t xml:space="preserve">β</t>
    </r>
    <r>
      <rPr>
        <vertAlign val="subscript"/>
        <sz val="11"/>
        <color rgb="FFC00000"/>
        <rFont val="Calibri"/>
        <family val="2"/>
        <charset val="1"/>
      </rPr>
      <t xml:space="preserve">1</t>
    </r>
    <r>
      <rPr>
        <sz val="11"/>
        <color rgb="FFC00000"/>
        <rFont val="Calibri"/>
        <family val="2"/>
        <charset val="1"/>
      </rPr>
      <t xml:space="preserve">=</t>
    </r>
  </si>
  <si>
    <r>
      <rPr>
        <sz val="11"/>
        <color rgb="FFC00000"/>
        <rFont val="Calibri"/>
        <family val="2"/>
        <charset val="1"/>
      </rPr>
      <t xml:space="preserve">β</t>
    </r>
    <r>
      <rPr>
        <vertAlign val="subscript"/>
        <sz val="11"/>
        <color rgb="FFC00000"/>
        <rFont val="Calibri"/>
        <family val="2"/>
        <charset val="1"/>
      </rPr>
      <t xml:space="preserve">2</t>
    </r>
    <r>
      <rPr>
        <sz val="11"/>
        <color rgb="FFC00000"/>
        <rFont val="Calibri"/>
        <family val="2"/>
        <charset val="1"/>
      </rPr>
      <t xml:space="preserve">=</t>
    </r>
  </si>
  <si>
    <r>
      <rPr>
        <b val="true"/>
        <sz val="11"/>
        <color theme="1"/>
        <rFont val="Calibri"/>
        <family val="2"/>
        <charset val="1"/>
      </rPr>
      <t xml:space="preserve">S</t>
    </r>
    <r>
      <rPr>
        <b val="true"/>
        <vertAlign val="subscript"/>
        <sz val="11"/>
        <color theme="1"/>
        <rFont val="Calibri"/>
        <family val="2"/>
        <charset val="1"/>
      </rPr>
      <t xml:space="preserve">e</t>
    </r>
  </si>
  <si>
    <r>
      <rPr>
        <sz val="11"/>
        <color theme="1"/>
        <rFont val="Calibri"/>
        <family val="2"/>
        <charset val="1"/>
      </rPr>
      <t xml:space="preserve">S</t>
    </r>
    <r>
      <rPr>
        <vertAlign val="superscript"/>
        <sz val="11"/>
        <color theme="1"/>
        <rFont val="Calibri"/>
        <family val="2"/>
        <charset val="1"/>
      </rPr>
      <t xml:space="preserve">2</t>
    </r>
    <r>
      <rPr>
        <vertAlign val="subscript"/>
        <sz val="11"/>
        <color theme="1"/>
        <rFont val="Calibri"/>
        <family val="2"/>
        <charset val="1"/>
      </rPr>
      <t xml:space="preserve">x1</t>
    </r>
    <r>
      <rPr>
        <sz val="11"/>
        <color theme="1"/>
        <rFont val="Calibri"/>
        <family val="2"/>
        <charset val="1"/>
      </rPr>
      <t xml:space="preserve">=</t>
    </r>
  </si>
  <si>
    <t xml:space="preserve">osservazioni</t>
  </si>
  <si>
    <r>
      <rPr>
        <sz val="11"/>
        <color theme="1"/>
        <rFont val="Calibri"/>
        <family val="2"/>
        <charset val="1"/>
      </rPr>
      <t xml:space="preserve">S</t>
    </r>
    <r>
      <rPr>
        <vertAlign val="superscript"/>
        <sz val="11"/>
        <color theme="1"/>
        <rFont val="Calibri"/>
        <family val="2"/>
        <charset val="1"/>
      </rPr>
      <t xml:space="preserve">2</t>
    </r>
    <r>
      <rPr>
        <vertAlign val="subscript"/>
        <sz val="11"/>
        <color theme="1"/>
        <rFont val="Calibri"/>
        <family val="2"/>
        <charset val="1"/>
      </rPr>
      <t xml:space="preserve">x2</t>
    </r>
    <r>
      <rPr>
        <sz val="11"/>
        <color theme="1"/>
        <rFont val="Calibri"/>
        <family val="2"/>
        <charset val="1"/>
      </rPr>
      <t xml:space="preserve">=</t>
    </r>
  </si>
  <si>
    <r>
      <rPr>
        <b val="true"/>
        <sz val="11"/>
        <color theme="1"/>
        <rFont val="Calibri"/>
        <family val="2"/>
        <charset val="1"/>
      </rPr>
      <t xml:space="preserve">Tα</t>
    </r>
    <r>
      <rPr>
        <b val="true"/>
        <vertAlign val="subscript"/>
        <sz val="11"/>
        <color theme="1"/>
        <rFont val="Calibri"/>
        <family val="2"/>
        <charset val="1"/>
      </rPr>
      <t xml:space="preserve">/2</t>
    </r>
    <r>
      <rPr>
        <b val="true"/>
        <sz val="11"/>
        <color theme="1"/>
        <rFont val="Calibri"/>
        <family val="2"/>
        <charset val="1"/>
      </rPr>
      <t xml:space="preserve">,N-m</t>
    </r>
  </si>
  <si>
    <r>
      <rPr>
        <sz val="11"/>
        <color theme="1"/>
        <rFont val="Calibri"/>
        <family val="2"/>
        <charset val="1"/>
      </rPr>
      <t xml:space="preserve">M</t>
    </r>
    <r>
      <rPr>
        <vertAlign val="subscript"/>
        <sz val="11"/>
        <color theme="1"/>
        <rFont val="Calibri"/>
        <family val="2"/>
        <charset val="1"/>
      </rPr>
      <t xml:space="preserve">x1</t>
    </r>
    <r>
      <rPr>
        <sz val="11"/>
        <color theme="1"/>
        <rFont val="Calibri"/>
        <family val="2"/>
        <charset val="1"/>
      </rPr>
      <t xml:space="preserve">=</t>
    </r>
  </si>
  <si>
    <r>
      <rPr>
        <sz val="11"/>
        <color theme="1"/>
        <rFont val="Calibri"/>
        <family val="2"/>
        <charset val="1"/>
      </rPr>
      <t xml:space="preserve">M</t>
    </r>
    <r>
      <rPr>
        <vertAlign val="subscript"/>
        <sz val="11"/>
        <color theme="1"/>
        <rFont val="Calibri"/>
        <family val="2"/>
        <charset val="1"/>
      </rPr>
      <t xml:space="preserve">x2</t>
    </r>
    <r>
      <rPr>
        <sz val="11"/>
        <color theme="1"/>
        <rFont val="Calibri"/>
        <family val="2"/>
        <charset val="1"/>
      </rPr>
      <t xml:space="preserve">=</t>
    </r>
  </si>
  <si>
    <t xml:space="preserve">STIMA INTERVALLARE EMIGRAZIONE 2016</t>
  </si>
  <si>
    <t xml:space="preserve">STIMA INTERVALLARE EMIGRAZIONE 2017</t>
  </si>
  <si>
    <r>
      <rPr>
        <b val="true"/>
        <sz val="9"/>
        <rFont val="Arial"/>
        <family val="2"/>
        <charset val="1"/>
      </rPr>
      <t xml:space="preserve">Y*</t>
    </r>
    <r>
      <rPr>
        <b val="true"/>
        <vertAlign val="subscript"/>
        <sz val="9"/>
        <rFont val="Arial"/>
        <family val="2"/>
        <charset val="1"/>
      </rPr>
      <t xml:space="preserve">inf</t>
    </r>
  </si>
  <si>
    <t xml:space="preserve">Y*</t>
  </si>
  <si>
    <r>
      <rPr>
        <sz val="11"/>
        <color theme="1"/>
        <rFont val="Calibri"/>
        <family val="2"/>
        <charset val="1"/>
      </rPr>
      <t xml:space="preserve">Y*</t>
    </r>
    <r>
      <rPr>
        <vertAlign val="subscript"/>
        <sz val="11"/>
        <color theme="1"/>
        <rFont val="Calibri"/>
        <family val="2"/>
        <charset val="1"/>
      </rPr>
      <t xml:space="preserve">sup</t>
    </r>
  </si>
  <si>
    <t xml:space="preserve">EMIGRAZIONE2015</t>
  </si>
  <si>
    <t xml:space="preserve">EMIGRAZIONE2016</t>
  </si>
  <si>
    <t xml:space="preserve">EMIGRAZIONE2017</t>
  </si>
  <si>
    <t xml:space="preserve">EMIGRAZIONE2018</t>
  </si>
  <si>
    <t xml:space="preserve">EMIGRAZIONE2019</t>
  </si>
  <si>
    <t xml:space="preserve">EMIGRAZIONE2020</t>
  </si>
  <si>
    <t xml:space="preserve">IMMIGRAZIONE 2015</t>
  </si>
  <si>
    <t xml:space="preserve">IMMIGRAZIONE 2016</t>
  </si>
  <si>
    <t xml:space="preserve">IMMIGRAZIONE 2017</t>
  </si>
  <si>
    <t xml:space="preserve">IMMIGRAZIONE 2018</t>
  </si>
  <si>
    <t xml:space="preserve">IMMIGRAZIONE 2019</t>
  </si>
  <si>
    <t xml:space="preserve">IMMIGRAZIONE 2020</t>
  </si>
  <si>
    <t xml:space="preserve">PENSIONI  2015</t>
  </si>
  <si>
    <t xml:space="preserve">PENSIONI  2016</t>
  </si>
  <si>
    <t xml:space="preserve">PENSIONI  2017</t>
  </si>
  <si>
    <t xml:space="preserve">PENSIONI  2018</t>
  </si>
  <si>
    <t xml:space="preserve">PENSIONI  2019</t>
  </si>
  <si>
    <t xml:space="preserve">PENSIONI  2020</t>
  </si>
  <si>
    <t xml:space="preserve">SAGGIO MEDIO VARIAZIONE IMMIGRAZIONE </t>
  </si>
  <si>
    <t xml:space="preserve">SAGGIO MEDIO VARAZIONE PENSIONE</t>
  </si>
  <si>
    <t xml:space="preserve">PREVISIONE </t>
  </si>
  <si>
    <t xml:space="preserve">emigrazione</t>
  </si>
  <si>
    <t xml:space="preserve">immigrazione </t>
  </si>
  <si>
    <t xml:space="preserve">pensioni</t>
  </si>
  <si>
    <r>
      <rPr>
        <sz val="11"/>
        <color theme="1"/>
        <rFont val="Calibri"/>
        <family val="2"/>
        <charset val="1"/>
      </rPr>
      <t xml:space="preserve">β</t>
    </r>
    <r>
      <rPr>
        <vertAlign val="subscript"/>
        <sz val="8.25"/>
        <color theme="1"/>
        <rFont val="Calibri"/>
        <family val="2"/>
        <charset val="1"/>
      </rPr>
      <t xml:space="preserve">i</t>
    </r>
    <r>
      <rPr>
        <vertAlign val="subscript"/>
        <sz val="11"/>
        <color theme="1"/>
        <rFont val="Calibri"/>
        <family val="2"/>
        <charset val="1"/>
      </rPr>
      <t xml:space="preserve"> </t>
    </r>
  </si>
  <si>
    <t xml:space="preserve">EMIGRAZIONE 2021</t>
  </si>
  <si>
    <t xml:space="preserve">IMMIGRAZIONE 2021</t>
  </si>
  <si>
    <t xml:space="preserve">PENSIONI 2021</t>
  </si>
  <si>
    <t xml:space="preserve">EMIGRAZIONE 2022</t>
  </si>
  <si>
    <t xml:space="preserve">IMMIGRAZIONE 2022</t>
  </si>
  <si>
    <t xml:space="preserve">PENSIONI 2022</t>
  </si>
  <si>
    <t xml:space="preserve">EMIGRAZIONE 2023</t>
  </si>
  <si>
    <t xml:space="preserve">IMMIGRAZIONE 2023</t>
  </si>
  <si>
    <t xml:space="preserve">PENSIONI 2023</t>
  </si>
  <si>
    <t xml:space="preserve">EMIGRAZIONE 2024</t>
  </si>
  <si>
    <t xml:space="preserve">IMMIGRAZIONE 2024</t>
  </si>
  <si>
    <t xml:space="preserve">PENSIONI 2024</t>
  </si>
  <si>
    <t xml:space="preserve">RLM 7</t>
  </si>
  <si>
    <t xml:space="preserve">RLM 4</t>
  </si>
  <si>
    <t xml:space="preserve">RLM 2</t>
  </si>
  <si>
    <t xml:space="preserve">p-value</t>
  </si>
</sst>
</file>

<file path=xl/styles.xml><?xml version="1.0" encoding="utf-8"?>
<styleSheet xmlns="http://schemas.openxmlformats.org/spreadsheetml/2006/main">
  <numFmts count="11">
    <numFmt numFmtId="164" formatCode="General"/>
    <numFmt numFmtId="165" formatCode="0.00"/>
    <numFmt numFmtId="166" formatCode="0.000"/>
    <numFmt numFmtId="167" formatCode="_-* #,##0.000_-;\-* #,##0.000_-;_-* \-??_-;_-@_-"/>
    <numFmt numFmtId="168" formatCode="#,##0.000"/>
    <numFmt numFmtId="169" formatCode="#,##0"/>
    <numFmt numFmtId="170" formatCode="0.0"/>
    <numFmt numFmtId="171" formatCode="#,##0.00"/>
    <numFmt numFmtId="172" formatCode="0%"/>
    <numFmt numFmtId="173" formatCode="0.00%"/>
    <numFmt numFmtId="174" formatCode="0"/>
  </numFmts>
  <fonts count="69">
    <font>
      <sz val="11"/>
      <color theme="1"/>
      <name val="Calibri"/>
      <family val="2"/>
      <charset val="1"/>
    </font>
    <font>
      <sz val="10"/>
      <name val="Arial"/>
      <family val="0"/>
    </font>
    <font>
      <sz val="10"/>
      <name val="Arial"/>
      <family val="0"/>
    </font>
    <font>
      <sz val="10"/>
      <name val="Arial"/>
      <family val="0"/>
    </font>
    <font>
      <sz val="11"/>
      <color rgb="FF000000"/>
      <name val="Calibri"/>
      <family val="2"/>
      <charset val="1"/>
    </font>
    <font>
      <b val="true"/>
      <sz val="11"/>
      <color theme="1"/>
      <name val="Calibri"/>
      <family val="2"/>
      <charset val="1"/>
    </font>
    <font>
      <b val="true"/>
      <sz val="9"/>
      <name val="Arial"/>
      <family val="2"/>
      <charset val="1"/>
    </font>
    <font>
      <u val="single"/>
      <sz val="11"/>
      <color theme="10"/>
      <name val="Calibri"/>
      <family val="2"/>
      <charset val="1"/>
    </font>
    <font>
      <sz val="9"/>
      <name val="Arial"/>
      <family val="2"/>
      <charset val="1"/>
    </font>
    <font>
      <sz val="10"/>
      <name val="Noto Sans"/>
      <family val="2"/>
    </font>
    <font>
      <sz val="11"/>
      <color rgb="FF000000"/>
      <name val="Calibri"/>
      <family val="0"/>
    </font>
    <font>
      <sz val="11"/>
      <name val="Calibri"/>
      <family val="0"/>
    </font>
    <font>
      <sz val="11"/>
      <color rgb="FF000000"/>
      <name val="Calibri"/>
      <family val="2"/>
    </font>
    <font>
      <b val="true"/>
      <sz val="11"/>
      <color rgb="FF806000"/>
      <name val="Calibri"/>
      <family val="2"/>
      <charset val="1"/>
    </font>
    <font>
      <b val="true"/>
      <vertAlign val="subscript"/>
      <sz val="11"/>
      <color rgb="FF806000"/>
      <name val="Calibri"/>
      <family val="2"/>
      <charset val="1"/>
    </font>
    <font>
      <sz val="11"/>
      <color theme="7" tint="-0.5"/>
      <name val="Calibri"/>
      <family val="2"/>
      <charset val="1"/>
    </font>
    <font>
      <b val="true"/>
      <sz val="11"/>
      <color rgb="FF000000"/>
      <name val="Calibri"/>
      <family val="2"/>
      <charset val="1"/>
    </font>
    <font>
      <sz val="11"/>
      <color rgb="FF806000"/>
      <name val="Calibri"/>
      <family val="2"/>
      <charset val="1"/>
    </font>
    <font>
      <b val="true"/>
      <vertAlign val="subscript"/>
      <sz val="8"/>
      <color rgb="FF806000"/>
      <name val="Calibri"/>
      <family val="2"/>
      <charset val="1"/>
    </font>
    <font>
      <b val="true"/>
      <sz val="10"/>
      <color rgb="FF806000"/>
      <name val="Arial"/>
      <family val="2"/>
      <charset val="1"/>
    </font>
    <font>
      <b val="true"/>
      <vertAlign val="subscript"/>
      <sz val="10"/>
      <color rgb="FF806000"/>
      <name val="Arial"/>
      <family val="2"/>
      <charset val="1"/>
    </font>
    <font>
      <vertAlign val="subscript"/>
      <sz val="11"/>
      <color rgb="FF000000"/>
      <name val="Calibri"/>
      <family val="2"/>
      <charset val="1"/>
    </font>
    <font>
      <sz val="11"/>
      <color theme="7" tint="-0.5"/>
      <name val="Symbol"/>
      <family val="1"/>
      <charset val="2"/>
    </font>
    <font>
      <vertAlign val="subscript"/>
      <sz val="11"/>
      <color theme="7" tint="-0.5"/>
      <name val="Calibri"/>
      <family val="2"/>
      <charset val="1"/>
    </font>
    <font>
      <b val="true"/>
      <sz val="11"/>
      <color theme="7" tint="-0.5"/>
      <name val="Calibri"/>
      <family val="2"/>
      <charset val="1"/>
    </font>
    <font>
      <b val="true"/>
      <vertAlign val="subscript"/>
      <sz val="11"/>
      <color theme="7" tint="-0.5"/>
      <name val="Calibri"/>
      <family val="2"/>
      <charset val="1"/>
    </font>
    <font>
      <b val="true"/>
      <vertAlign val="subscript"/>
      <sz val="8"/>
      <color theme="7" tint="-0.5"/>
      <name val="Calibri"/>
      <family val="2"/>
      <charset val="1"/>
    </font>
    <font>
      <vertAlign val="subscript"/>
      <sz val="11"/>
      <color theme="1"/>
      <name val="Calibri"/>
      <family val="2"/>
      <charset val="1"/>
    </font>
    <font>
      <sz val="11"/>
      <color rgb="FF806000"/>
      <name val="Symbol"/>
      <family val="1"/>
      <charset val="2"/>
    </font>
    <font>
      <vertAlign val="subscript"/>
      <sz val="11"/>
      <color rgb="FF806000"/>
      <name val="Calibri"/>
      <family val="2"/>
      <charset val="1"/>
    </font>
    <font>
      <sz val="14"/>
      <color rgb="FF595959"/>
      <name val="Calibri"/>
      <family val="2"/>
    </font>
    <font>
      <sz val="9"/>
      <color rgb="FF595959"/>
      <name val="Calibri"/>
      <family val="2"/>
    </font>
    <font>
      <b val="true"/>
      <sz val="11"/>
      <color rgb="FFFF0000"/>
      <name val="Calibri"/>
      <family val="2"/>
      <charset val="1"/>
    </font>
    <font>
      <sz val="11"/>
      <color theme="10"/>
      <name val="Calibri"/>
      <family val="2"/>
      <charset val="1"/>
    </font>
    <font>
      <b val="true"/>
      <sz val="11"/>
      <color theme="1"/>
      <name val="Calibri"/>
      <family val="0"/>
    </font>
    <font>
      <sz val="11"/>
      <color theme="1"/>
      <name val="Calibri"/>
      <family val="0"/>
    </font>
    <font>
      <sz val="12"/>
      <color theme="1"/>
      <name val="Calibri"/>
      <family val="0"/>
    </font>
    <font>
      <u val="single"/>
      <sz val="11"/>
      <color theme="1"/>
      <name val="Calibri"/>
      <family val="0"/>
    </font>
    <font>
      <b val="true"/>
      <sz val="12"/>
      <color theme="1"/>
      <name val="Calibri"/>
      <family val="0"/>
    </font>
    <font>
      <b val="true"/>
      <sz val="11"/>
      <color rgb="FF000000"/>
      <name val="Aptos Narrow"/>
      <family val="2"/>
      <charset val="1"/>
    </font>
    <font>
      <sz val="11"/>
      <color rgb="FF000000"/>
      <name val="Aptos Narrow"/>
      <family val="2"/>
      <charset val="1"/>
    </font>
    <font>
      <i val="true"/>
      <sz val="11"/>
      <color theme="1"/>
      <name val="Calibri"/>
      <family val="2"/>
      <charset val="1"/>
    </font>
    <font>
      <sz val="10"/>
      <name val="Arial"/>
      <family val="0"/>
      <charset val="1"/>
    </font>
    <font>
      <sz val="12"/>
      <name val="Arial"/>
      <family val="0"/>
      <charset val="1"/>
    </font>
    <font>
      <vertAlign val="subscript"/>
      <sz val="12"/>
      <name val="Arial"/>
      <family val="2"/>
      <charset val="1"/>
    </font>
    <font>
      <sz val="12"/>
      <name val="Arial"/>
      <family val="2"/>
      <charset val="1"/>
    </font>
    <font>
      <sz val="12"/>
      <name val="Calibri"/>
      <family val="2"/>
      <charset val="1"/>
    </font>
    <font>
      <vertAlign val="subscript"/>
      <sz val="10"/>
      <name val="Arial"/>
      <family val="2"/>
      <charset val="1"/>
    </font>
    <font>
      <sz val="10"/>
      <name val="Arial"/>
      <family val="2"/>
      <charset val="1"/>
    </font>
    <font>
      <sz val="10"/>
      <name val="Calibri"/>
      <family val="2"/>
      <charset val="1"/>
    </font>
    <font>
      <sz val="11"/>
      <color rgb="FF000000"/>
      <name val="Calibri"/>
      <family val="0"/>
      <charset val="1"/>
    </font>
    <font>
      <b val="true"/>
      <sz val="11"/>
      <name val="Calibri"/>
      <family val="0"/>
    </font>
    <font>
      <b val="true"/>
      <sz val="11"/>
      <color rgb="FF000000"/>
      <name val="Calibri"/>
      <family val="2"/>
    </font>
    <font>
      <sz val="9"/>
      <name val="Arial"/>
      <family val="0"/>
      <charset val="1"/>
    </font>
    <font>
      <sz val="11"/>
      <color rgb="FFFF0000"/>
      <name val="Calibri"/>
      <family val="2"/>
      <charset val="1"/>
    </font>
    <font>
      <b val="true"/>
      <vertAlign val="subscript"/>
      <sz val="11"/>
      <color theme="1"/>
      <name val="Calibri"/>
      <family val="2"/>
      <charset val="1"/>
    </font>
    <font>
      <sz val="11"/>
      <color rgb="FFC00000"/>
      <name val="Calibri"/>
      <family val="2"/>
      <charset val="1"/>
    </font>
    <font>
      <vertAlign val="subscript"/>
      <sz val="11"/>
      <color rgb="FFC00000"/>
      <name val="Calibri"/>
      <family val="2"/>
      <charset val="1"/>
    </font>
    <font>
      <vertAlign val="superscript"/>
      <sz val="11"/>
      <color theme="1"/>
      <name val="Calibri"/>
      <family val="2"/>
      <charset val="1"/>
    </font>
    <font>
      <b val="true"/>
      <vertAlign val="subscript"/>
      <sz val="9"/>
      <name val="Arial"/>
      <family val="2"/>
      <charset val="1"/>
    </font>
    <font>
      <b val="true"/>
      <vertAlign val="subscript"/>
      <sz val="11"/>
      <name val="Calibri"/>
      <family val="0"/>
    </font>
    <font>
      <sz val="9"/>
      <color rgb="FF000000"/>
      <name val="Arial"/>
      <family val="2"/>
      <charset val="1"/>
    </font>
    <font>
      <vertAlign val="subscript"/>
      <sz val="8.25"/>
      <color theme="1"/>
      <name val="Calibri"/>
      <family val="2"/>
      <charset val="1"/>
    </font>
    <font>
      <b val="true"/>
      <sz val="9"/>
      <color rgb="FF000000"/>
      <name val="Tahoma"/>
      <family val="2"/>
      <charset val="1"/>
    </font>
    <font>
      <sz val="9"/>
      <color rgb="FF000000"/>
      <name val="Tahoma"/>
      <family val="2"/>
      <charset val="1"/>
    </font>
    <font>
      <b val="true"/>
      <sz val="11"/>
      <color rgb="FF000000"/>
      <name val="Calibri"/>
      <family val="0"/>
      <charset val="1"/>
    </font>
    <font>
      <sz val="20"/>
      <color rgb="FF000000"/>
      <name val="Calibri"/>
      <family val="2"/>
    </font>
    <font>
      <b val="true"/>
      <sz val="20"/>
      <color rgb="FF000000"/>
      <name val="Calibri"/>
      <family val="2"/>
    </font>
    <font>
      <sz val="20"/>
      <name val="Calibri"/>
      <family val="0"/>
    </font>
  </fonts>
  <fills count="24">
    <fill>
      <patternFill patternType="none"/>
    </fill>
    <fill>
      <patternFill patternType="gray125"/>
    </fill>
    <fill>
      <patternFill patternType="solid">
        <fgColor rgb="FFFFE7A1"/>
        <bgColor rgb="FFFFE699"/>
      </patternFill>
    </fill>
    <fill>
      <patternFill patternType="solid">
        <fgColor theme="7" tint="0.5999"/>
        <bgColor rgb="FFFFE7A1"/>
      </patternFill>
    </fill>
    <fill>
      <patternFill patternType="solid">
        <fgColor theme="7" tint="0.7999"/>
        <bgColor rgb="FFFFFFCC"/>
      </patternFill>
    </fill>
    <fill>
      <patternFill patternType="solid">
        <fgColor theme="0"/>
        <bgColor rgb="FFF6F6F6"/>
      </patternFill>
    </fill>
    <fill>
      <patternFill patternType="solid">
        <fgColor theme="5" tint="0.5999"/>
        <bgColor rgb="FFFFC7CE"/>
      </patternFill>
    </fill>
    <fill>
      <patternFill patternType="solid">
        <fgColor rgb="FFDCE6F1"/>
        <bgColor rgb="FFCCECFF"/>
      </patternFill>
    </fill>
    <fill>
      <patternFill patternType="solid">
        <fgColor rgb="FFFFFF47"/>
        <bgColor rgb="FFFFFC4F"/>
      </patternFill>
    </fill>
    <fill>
      <patternFill patternType="solid">
        <fgColor theme="9" tint="0.3999"/>
        <bgColor rgb="FFBFBFBF"/>
      </patternFill>
    </fill>
    <fill>
      <patternFill patternType="solid">
        <fgColor theme="8" tint="0.5999"/>
        <bgColor rgb="FFB4C7E7"/>
      </patternFill>
    </fill>
    <fill>
      <patternFill patternType="solid">
        <fgColor rgb="FFC28BC4"/>
        <bgColor rgb="FFA5A5A5"/>
      </patternFill>
    </fill>
    <fill>
      <patternFill patternType="solid">
        <fgColor rgb="FFFFFF85"/>
        <bgColor rgb="FFFFFC4F"/>
      </patternFill>
    </fill>
    <fill>
      <patternFill patternType="solid">
        <fgColor theme="5" tint="0.7999"/>
        <bgColor rgb="FFFFF2CC"/>
      </patternFill>
    </fill>
    <fill>
      <patternFill patternType="solid">
        <fgColor rgb="FFCCECFF"/>
        <bgColor rgb="FFDCE6F1"/>
      </patternFill>
    </fill>
    <fill>
      <patternFill patternType="solid">
        <fgColor rgb="FFFFFF00"/>
        <bgColor rgb="FFFFFF47"/>
      </patternFill>
    </fill>
    <fill>
      <patternFill patternType="solid">
        <fgColor theme="7"/>
        <bgColor rgb="FFFFD966"/>
      </patternFill>
    </fill>
    <fill>
      <patternFill patternType="solid">
        <fgColor theme="2" tint="-0.1"/>
        <bgColor rgb="FFD9D9D9"/>
      </patternFill>
    </fill>
    <fill>
      <patternFill patternType="solid">
        <fgColor theme="4" tint="0.5999"/>
        <bgColor rgb="FFBDD7EE"/>
      </patternFill>
    </fill>
    <fill>
      <patternFill patternType="solid">
        <fgColor rgb="FFFFFFCC"/>
        <bgColor rgb="FFFFF2CC"/>
      </patternFill>
    </fill>
    <fill>
      <patternFill patternType="solid">
        <fgColor rgb="FFB6FCC7"/>
        <bgColor rgb="FFC6EFCE"/>
      </patternFill>
    </fill>
    <fill>
      <patternFill patternType="solid">
        <fgColor rgb="FFF6F6F6"/>
        <bgColor rgb="FFFFFFFF"/>
      </patternFill>
    </fill>
    <fill>
      <patternFill patternType="solid">
        <fgColor theme="7" tint="0.3999"/>
        <bgColor rgb="FFFFE699"/>
      </patternFill>
    </fill>
    <fill>
      <patternFill patternType="solid">
        <fgColor rgb="FFFFFC4F"/>
        <bgColor rgb="FFFFFF47"/>
      </patternFill>
    </fill>
  </fills>
  <borders count="15">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top style="thin"/>
      <bottom/>
      <diagonal/>
    </border>
    <border diagonalUp="false" diagonalDown="false">
      <left style="thin"/>
      <right style="thin"/>
      <top/>
      <bottom/>
      <diagonal/>
    </border>
    <border diagonalUp="false" diagonalDown="false">
      <left style="thin"/>
      <right style="thin"/>
      <top style="thin"/>
      <bottom/>
      <diagonal/>
    </border>
    <border diagonalUp="false" diagonalDown="false">
      <left/>
      <right style="thin"/>
      <top style="thin"/>
      <bottom style="thin"/>
      <diagonal/>
    </border>
    <border diagonalUp="false" diagonalDown="false">
      <left style="thin"/>
      <right/>
      <top/>
      <bottom/>
      <diagonal/>
    </border>
    <border diagonalUp="false" diagonalDown="false">
      <left style="thin"/>
      <right style="thin"/>
      <top/>
      <bottom style="thin"/>
      <diagonal/>
    </border>
    <border diagonalUp="false" diagonalDown="false">
      <left/>
      <right/>
      <top style="thin"/>
      <bottom style="thin"/>
      <diagonal/>
    </border>
    <border diagonalUp="false" diagonalDown="false">
      <left style="thin">
        <color rgb="FFB0B0B0"/>
      </left>
      <right style="thin">
        <color rgb="FFB0B0B0"/>
      </right>
      <top/>
      <bottom style="thin">
        <color rgb="FFB0B0B0"/>
      </bottom>
      <diagonal/>
    </border>
    <border diagonalUp="false" diagonalDown="false">
      <left style="thin">
        <color rgb="FFB0B0B0"/>
      </left>
      <right style="thin">
        <color rgb="FFB0B0B0"/>
      </right>
      <top style="thin">
        <color rgb="FFB0B0B0"/>
      </top>
      <bottom style="thin">
        <color rgb="FFB0B0B0"/>
      </bottom>
      <diagonal/>
    </border>
    <border diagonalUp="false" diagonalDown="false">
      <left style="thin">
        <color rgb="FFB0B0B0"/>
      </left>
      <right style="thin">
        <color rgb="FFB0B0B0"/>
      </right>
      <top/>
      <bottom/>
      <diagonal/>
    </border>
    <border diagonalUp="false" diagonalDown="false">
      <left/>
      <right/>
      <top style="medium"/>
      <bottom style="thin"/>
      <diagonal/>
    </border>
    <border diagonalUp="false" diagonalDown="false">
      <left/>
      <right/>
      <top/>
      <bottom style="mediu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165">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7" fillId="0" borderId="0" xfId="20" applyFont="true" applyBorder="true" applyAlignment="true" applyProtection="true">
      <alignment horizontal="lef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right" vertical="bottom" textRotation="0" wrapText="false" indent="0" shrinkToFit="false"/>
      <protection locked="true" hidden="false"/>
    </xf>
    <xf numFmtId="164" fontId="13" fillId="0" borderId="2" xfId="0" applyFont="true" applyBorder="true" applyAlignment="true" applyProtection="false">
      <alignment horizontal="right"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0" fillId="0" borderId="2" xfId="0" applyFont="fals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right"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7" fontId="0" fillId="0" borderId="1" xfId="0" applyFont="true" applyBorder="true" applyAlignment="true" applyProtection="false">
      <alignment horizontal="right"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6" fontId="0" fillId="4" borderId="1" xfId="0" applyFont="false" applyBorder="true" applyAlignment="false" applyProtection="false">
      <alignment horizontal="general" vertical="bottom" textRotation="0" wrapText="false" indent="0" shrinkToFit="false"/>
      <protection locked="true" hidden="false"/>
    </xf>
    <xf numFmtId="167" fontId="0" fillId="4" borderId="1" xfId="0" applyFont="false" applyBorder="true" applyAlignment="false" applyProtection="false">
      <alignment horizontal="general" vertical="bottom" textRotation="0" wrapText="false" indent="0" shrinkToFit="false"/>
      <protection locked="true" hidden="false"/>
    </xf>
    <xf numFmtId="166" fontId="0" fillId="3" borderId="1" xfId="0" applyFont="false" applyBorder="true" applyAlignment="false" applyProtection="false">
      <alignment horizontal="general" vertical="bottom" textRotation="0" wrapText="false" indent="0" shrinkToFit="false"/>
      <protection locked="true" hidden="false"/>
    </xf>
    <xf numFmtId="167" fontId="0" fillId="3" borderId="1" xfId="0" applyFont="fals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right" vertical="bottom" textRotation="0" wrapText="false" indent="0" shrinkToFit="false"/>
      <protection locked="true" hidden="false"/>
    </xf>
    <xf numFmtId="168" fontId="4" fillId="0" borderId="1" xfId="0" applyFont="true" applyBorder="true" applyAlignment="false" applyProtection="false">
      <alignment horizontal="general" vertical="bottom" textRotation="0" wrapText="false" indent="0" shrinkToFit="false"/>
      <protection locked="true" hidden="false"/>
    </xf>
    <xf numFmtId="164" fontId="16" fillId="3"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9" fillId="0" borderId="1" xfId="0" applyFont="true" applyBorder="true" applyAlignment="true" applyProtection="false">
      <alignment horizontal="right" vertical="bottom" textRotation="0" wrapText="false" indent="0" shrinkToFit="false"/>
      <protection locked="true" hidden="false"/>
    </xf>
    <xf numFmtId="165" fontId="4" fillId="0" borderId="1" xfId="0" applyFont="true" applyBorder="true" applyAlignment="true" applyProtection="false">
      <alignment horizontal="right" vertical="bottom" textRotation="0" wrapText="false" indent="0" shrinkToFit="false"/>
      <protection locked="true" hidden="false"/>
    </xf>
    <xf numFmtId="164" fontId="4" fillId="0" borderId="1" xfId="0" applyFont="true" applyBorder="true" applyAlignment="true" applyProtection="false">
      <alignment horizontal="right" vertical="bottom" textRotation="0" wrapText="false" indent="0" shrinkToFit="false"/>
      <protection locked="true" hidden="false"/>
    </xf>
    <xf numFmtId="164" fontId="4" fillId="0" borderId="2" xfId="0" applyFont="true" applyBorder="true" applyAlignment="true" applyProtection="false">
      <alignment horizontal="right"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right"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4" fillId="0" borderId="2" xfId="0" applyFont="true" applyBorder="true" applyAlignment="false" applyProtection="false">
      <alignment horizontal="general" vertical="bottom" textRotation="0" wrapText="false" indent="0" shrinkToFit="false"/>
      <protection locked="true" hidden="false"/>
    </xf>
    <xf numFmtId="164" fontId="24" fillId="0" borderId="3" xfId="0" applyFont="true" applyBorder="true" applyAlignment="false" applyProtection="false">
      <alignment horizontal="general" vertical="bottom" textRotation="0" wrapText="false" indent="0" shrinkToFit="false"/>
      <protection locked="true" hidden="false"/>
    </xf>
    <xf numFmtId="165" fontId="4" fillId="0" borderId="4" xfId="0" applyFont="true" applyBorder="true" applyAlignment="false" applyProtection="false">
      <alignment horizontal="general" vertical="bottom" textRotation="0" wrapText="false" indent="0" shrinkToFit="false"/>
      <protection locked="true" hidden="false"/>
    </xf>
    <xf numFmtId="164" fontId="4" fillId="0" borderId="4"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right"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5" fontId="24" fillId="0" borderId="1"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true" applyProtection="false">
      <alignment horizontal="right" vertical="bottom" textRotation="0" wrapText="false" indent="0" shrinkToFit="false"/>
      <protection locked="true" hidden="false"/>
    </xf>
    <xf numFmtId="164" fontId="24" fillId="0" borderId="2" xfId="0" applyFont="true" applyBorder="true" applyAlignment="true" applyProtection="false">
      <alignment horizontal="right" vertical="bottom" textRotation="0" wrapText="false" indent="0" shrinkToFit="false"/>
      <protection locked="true" hidden="false"/>
    </xf>
    <xf numFmtId="164" fontId="24" fillId="0" borderId="1" xfId="0" applyFont="true" applyBorder="true" applyAlignment="true" applyProtection="false">
      <alignment horizontal="general" vertical="bottom" textRotation="0" wrapText="true" indent="0" shrinkToFit="false"/>
      <protection locked="true" hidden="false"/>
    </xf>
    <xf numFmtId="165"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true" indent="0" shrinkToFit="false"/>
      <protection locked="true" hidden="false"/>
    </xf>
    <xf numFmtId="165" fontId="0" fillId="0" borderId="1" xfId="0" applyFont="false" applyBorder="true" applyAlignment="true" applyProtection="false">
      <alignment horizontal="general" vertical="bottom" textRotation="0" wrapText="true" indent="0" shrinkToFit="false"/>
      <protection locked="true" hidden="false"/>
    </xf>
    <xf numFmtId="164" fontId="0" fillId="0" borderId="8" xfId="0" applyFont="true" applyBorder="true" applyAlignment="true" applyProtection="false">
      <alignment horizontal="right"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5" fontId="4" fillId="0" borderId="1" xfId="0" applyFont="tru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5" fontId="15" fillId="0" borderId="1" xfId="0" applyFont="true" applyBorder="true" applyAlignment="false" applyProtection="false">
      <alignment horizontal="general"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6" fillId="6"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4" fontId="32" fillId="6" borderId="0" xfId="0" applyFont="true" applyBorder="false" applyAlignment="false" applyProtection="false">
      <alignment horizontal="general" vertical="bottom" textRotation="0" wrapText="false" indent="0" shrinkToFit="false"/>
      <protection locked="true" hidden="false"/>
    </xf>
    <xf numFmtId="164" fontId="7" fillId="0" borderId="0" xfId="2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33" fillId="0" borderId="0" xfId="20" applyFont="true" applyBorder="true" applyAlignment="true" applyProtection="true">
      <alignment horizontal="general" vertical="bottom" textRotation="0" wrapText="false" indent="0" shrinkToFit="false"/>
      <protection locked="true" hidden="false"/>
    </xf>
    <xf numFmtId="164" fontId="7" fillId="0" borderId="0" xfId="20" applyFont="true" applyBorder="true" applyAlignment="true" applyProtection="true">
      <alignment horizontal="center" vertical="bottom" textRotation="0" wrapText="true" indent="0" shrinkToFit="false"/>
      <protection locked="true" hidden="false"/>
    </xf>
    <xf numFmtId="164" fontId="39" fillId="0" borderId="1" xfId="0" applyFont="true" applyBorder="true" applyAlignment="true" applyProtection="false">
      <alignment horizontal="left" vertical="bottom" textRotation="0" wrapText="false" indent="0" shrinkToFit="false"/>
      <protection locked="true" hidden="false"/>
    </xf>
    <xf numFmtId="164" fontId="7" fillId="6" borderId="6" xfId="20" applyFont="true" applyBorder="true" applyAlignment="true" applyProtection="true">
      <alignment horizontal="general" vertical="bottom" textRotation="0" wrapText="false" indent="0" shrinkToFit="false"/>
      <protection locked="true" hidden="false"/>
    </xf>
    <xf numFmtId="164" fontId="7" fillId="6" borderId="6" xfId="20" applyFont="true" applyBorder="true" applyAlignment="true" applyProtection="true">
      <alignment horizontal="right" vertical="bottom" textRotation="0" wrapText="false" indent="0" shrinkToFit="false"/>
      <protection locked="true" hidden="false"/>
    </xf>
    <xf numFmtId="164" fontId="7" fillId="6" borderId="1" xfId="20" applyFont="true" applyBorder="true" applyAlignment="true" applyProtection="true">
      <alignment horizontal="right" vertical="bottom" textRotation="0" wrapText="false" indent="0" shrinkToFit="false"/>
      <protection locked="true" hidden="false"/>
    </xf>
    <xf numFmtId="164" fontId="7" fillId="6" borderId="9" xfId="20" applyFont="true" applyBorder="true" applyAlignment="true" applyProtection="true">
      <alignment horizontal="general" vertical="bottom" textRotation="0" wrapText="false" indent="0" shrinkToFit="false"/>
      <protection locked="true" hidden="false"/>
    </xf>
    <xf numFmtId="164" fontId="7" fillId="6" borderId="1" xfId="20" applyFont="true" applyBorder="true" applyAlignment="true" applyProtection="true">
      <alignment horizontal="general" vertical="bottom" textRotation="0" wrapText="false" indent="0" shrinkToFit="false"/>
      <protection locked="true" hidden="false"/>
    </xf>
    <xf numFmtId="164" fontId="6" fillId="7" borderId="10" xfId="0" applyFont="true" applyBorder="true" applyAlignment="true" applyProtection="false">
      <alignment horizontal="left" vertical="bottom" textRotation="0" wrapText="false" indent="0" shrinkToFit="false"/>
      <protection locked="true" hidden="false"/>
    </xf>
    <xf numFmtId="169" fontId="8" fillId="0" borderId="0" xfId="21" applyFont="true" applyBorder="false" applyAlignment="true" applyProtection="false">
      <alignment horizontal="right" vertical="center" textRotation="0" wrapText="false" indent="0" shrinkToFit="true"/>
      <protection locked="true" hidden="false"/>
    </xf>
    <xf numFmtId="169" fontId="8" fillId="0" borderId="0" xfId="0" applyFont="true" applyBorder="false" applyAlignment="true" applyProtection="false">
      <alignment horizontal="right" vertical="bottom" textRotation="0" wrapText="false" indent="0" shrinkToFit="false"/>
      <protection locked="true" hidden="false"/>
    </xf>
    <xf numFmtId="170" fontId="8" fillId="0" borderId="0" xfId="0" applyFont="true" applyBorder="false" applyAlignment="true" applyProtection="false">
      <alignment horizontal="right" vertical="bottom" textRotation="0" wrapText="false" indent="0" shrinkToFit="false"/>
      <protection locked="true" hidden="false"/>
    </xf>
    <xf numFmtId="169" fontId="8" fillId="0" borderId="0" xfId="0" applyFont="true" applyBorder="false" applyAlignment="true" applyProtection="false">
      <alignment horizontal="right" vertical="center" textRotation="0" wrapText="false" indent="0" shrinkToFit="tru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6" fillId="7" borderId="11" xfId="0" applyFont="true" applyBorder="tru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9" fontId="7" fillId="6" borderId="0" xfId="20" applyFont="true" applyBorder="true" applyAlignment="true" applyProtection="true">
      <alignment horizontal="right"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9" fontId="8" fillId="6" borderId="0" xfId="21" applyFont="true" applyBorder="false" applyAlignment="true" applyProtection="false">
      <alignment horizontal="right" vertical="center" textRotation="0" wrapText="false" indent="0" shrinkToFit="true"/>
      <protection locked="true" hidden="false"/>
    </xf>
    <xf numFmtId="164" fontId="8" fillId="6" borderId="0" xfId="0" applyFont="true" applyBorder="false" applyAlignment="true" applyProtection="false">
      <alignment horizontal="right" vertical="bottom" textRotation="0" wrapText="false" indent="0" shrinkToFit="false"/>
      <protection locked="true" hidden="false"/>
    </xf>
    <xf numFmtId="169" fontId="0" fillId="6" borderId="0" xfId="0" applyFont="false" applyBorder="false" applyAlignment="true" applyProtection="false">
      <alignment horizontal="right" vertical="bottom" textRotation="0" wrapText="false" indent="0" shrinkToFit="false"/>
      <protection locked="true" hidden="false"/>
    </xf>
    <xf numFmtId="164" fontId="6" fillId="7" borderId="12" xfId="0" applyFont="true" applyBorder="true" applyAlignment="true" applyProtection="false">
      <alignment horizontal="left" vertical="bottom" textRotation="0" wrapText="false" indent="0" shrinkToFit="false"/>
      <protection locked="true" hidden="false"/>
    </xf>
    <xf numFmtId="169" fontId="0" fillId="6" borderId="0" xfId="0" applyFont="false" applyBorder="false" applyAlignment="false" applyProtection="false">
      <alignment horizontal="general" vertical="bottom" textRotation="0" wrapText="false" indent="0" shrinkToFit="false"/>
      <protection locked="true" hidden="false"/>
    </xf>
    <xf numFmtId="164" fontId="40" fillId="6"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9" fontId="8" fillId="0" borderId="0" xfId="0" applyFont="true" applyBorder="false" applyAlignment="true" applyProtection="false">
      <alignment horizontal="right" vertical="bottom" textRotation="0" wrapText="false" indent="0" shrinkToFit="false"/>
      <protection locked="true" hidden="false"/>
    </xf>
    <xf numFmtId="164" fontId="0" fillId="6" borderId="0" xfId="0" applyFont="false" applyBorder="false" applyAlignment="true" applyProtection="false">
      <alignment horizontal="right" vertical="bottom" textRotation="0" wrapText="false" indent="0" shrinkToFit="false"/>
      <protection locked="true" hidden="false"/>
    </xf>
    <xf numFmtId="165" fontId="0" fillId="6" borderId="0" xfId="0" applyFont="false" applyBorder="false" applyAlignment="true" applyProtection="false">
      <alignment horizontal="right" vertical="bottom" textRotation="0" wrapText="false" indent="0" shrinkToFit="false"/>
      <protection locked="true" hidden="false"/>
    </xf>
    <xf numFmtId="164" fontId="40" fillId="0" borderId="0" xfId="0" applyFont="true" applyBorder="false" applyAlignment="true" applyProtection="false">
      <alignment horizontal="left" vertical="bottom" textRotation="0" wrapText="false" indent="0" shrinkToFit="false"/>
      <protection locked="true" hidden="false"/>
    </xf>
    <xf numFmtId="164" fontId="40" fillId="0" borderId="0" xfId="0" applyFont="true" applyBorder="false" applyAlignment="true" applyProtection="false">
      <alignment horizontal="right" vertical="bottom" textRotation="0" wrapText="false" indent="0" shrinkToFit="false"/>
      <protection locked="true" hidden="false"/>
    </xf>
    <xf numFmtId="164" fontId="40" fillId="0" borderId="0" xfId="0" applyFont="true" applyBorder="false" applyAlignment="true" applyProtection="false">
      <alignment horizontal="right" vertical="bottom" textRotation="0" wrapText="false" indent="0" shrinkToFit="false"/>
      <protection locked="true" hidden="false"/>
    </xf>
    <xf numFmtId="169" fontId="40" fillId="0" borderId="0" xfId="0" applyFont="true" applyBorder="false" applyAlignment="true" applyProtection="false">
      <alignment horizontal="right" vertical="bottom" textRotation="0" wrapText="false" indent="0" shrinkToFit="false"/>
      <protection locked="true" hidden="false"/>
    </xf>
    <xf numFmtId="164" fontId="41" fillId="0" borderId="13" xfId="0" applyFont="true" applyBorder="true" applyAlignment="true" applyProtection="false">
      <alignment horizontal="center" vertical="bottom" textRotation="0" wrapText="false" indent="0" shrinkToFit="false"/>
      <protection locked="true" hidden="false"/>
    </xf>
    <xf numFmtId="164" fontId="41" fillId="6" borderId="13" xfId="0" applyFont="true" applyBorder="true" applyAlignment="true" applyProtection="false">
      <alignment horizontal="center"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0" fillId="6" borderId="14" xfId="0" applyFont="true" applyBorder="true" applyAlignment="false" applyProtection="false">
      <alignment horizontal="general" vertical="bottom" textRotation="0" wrapText="false" indent="0" shrinkToFit="false"/>
      <protection locked="true" hidden="false"/>
    </xf>
    <xf numFmtId="164" fontId="0" fillId="8" borderId="14" xfId="0" applyFont="false" applyBorder="true" applyAlignment="false" applyProtection="false">
      <alignment horizontal="general" vertical="bottom" textRotation="0" wrapText="false" indent="0" shrinkToFit="false"/>
      <protection locked="true" hidden="false"/>
    </xf>
    <xf numFmtId="164" fontId="0" fillId="0" borderId="14" xfId="0" applyFont="false" applyBorder="true" applyAlignment="false" applyProtection="false">
      <alignment horizontal="general" vertical="bottom" textRotation="0" wrapText="false" indent="0" shrinkToFit="false"/>
      <protection locked="true" hidden="false"/>
    </xf>
    <xf numFmtId="164" fontId="42" fillId="0" borderId="0" xfId="0" applyFont="true" applyBorder="false" applyAlignment="fals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9" fontId="8" fillId="0" borderId="0" xfId="21" applyFont="true" applyBorder="false" applyAlignment="true" applyProtection="false">
      <alignment horizontal="right" vertical="center" textRotation="0" wrapText="false" indent="0" shrinkToFit="true"/>
      <protection locked="true" hidden="false"/>
    </xf>
    <xf numFmtId="170" fontId="8" fillId="0" borderId="0" xfId="0" applyFont="true" applyBorder="false" applyAlignment="true" applyProtection="false">
      <alignment horizontal="right" vertical="bottom" textRotation="0" wrapText="false" indent="0" shrinkToFit="false"/>
      <protection locked="true" hidden="false"/>
    </xf>
    <xf numFmtId="169" fontId="8" fillId="0" borderId="0" xfId="0" applyFont="true" applyBorder="false" applyAlignment="true" applyProtection="false">
      <alignment horizontal="right" vertical="center" textRotation="0" wrapText="false" indent="0" shrinkToFit="true"/>
      <protection locked="true" hidden="false"/>
    </xf>
    <xf numFmtId="164" fontId="0" fillId="10" borderId="0" xfId="0" applyFont="false" applyBorder="false" applyAlignment="false" applyProtection="false">
      <alignment horizontal="general" vertical="bottom" textRotation="0" wrapText="false" indent="0" shrinkToFit="false"/>
      <protection locked="true" hidden="false"/>
    </xf>
    <xf numFmtId="164" fontId="0" fillId="11" borderId="0" xfId="0" applyFont="false" applyBorder="false" applyAlignment="false" applyProtection="false">
      <alignment horizontal="general" vertical="bottom" textRotation="0" wrapText="false" indent="0" shrinkToFit="false"/>
      <protection locked="true" hidden="false"/>
    </xf>
    <xf numFmtId="164" fontId="41" fillId="12" borderId="13" xfId="0" applyFont="true" applyBorder="true" applyAlignment="true" applyProtection="false">
      <alignment horizontal="center" vertical="bottom" textRotation="0" wrapText="false" indent="0" shrinkToFit="false"/>
      <protection locked="true" hidden="false"/>
    </xf>
    <xf numFmtId="164" fontId="0" fillId="12"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true" applyAlignment="true" applyProtection="false">
      <alignment horizontal="center" vertical="bottom" textRotation="0" wrapText="false" indent="0" shrinkToFit="false"/>
      <protection locked="true" hidden="false"/>
    </xf>
    <xf numFmtId="164" fontId="0" fillId="9" borderId="14" xfId="0" applyFont="false" applyBorder="true" applyAlignment="false" applyProtection="false">
      <alignment horizontal="general" vertical="bottom" textRotation="0" wrapText="false" indent="0" shrinkToFit="false"/>
      <protection locked="true" hidden="false"/>
    </xf>
    <xf numFmtId="169" fontId="53" fillId="0" borderId="0" xfId="0" applyFont="true" applyBorder="false" applyAlignment="true" applyProtection="false">
      <alignment horizontal="right" vertical="bottom" textRotation="0" wrapText="false" indent="0" shrinkToFit="false"/>
      <protection locked="true" hidden="false"/>
    </xf>
    <xf numFmtId="164" fontId="53" fillId="0" borderId="0" xfId="0" applyFont="true" applyBorder="false" applyAlignment="true" applyProtection="false">
      <alignment horizontal="right" vertical="bottom" textRotation="0" wrapText="false" indent="0" shrinkToFit="false"/>
      <protection locked="true" hidden="false"/>
    </xf>
    <xf numFmtId="164" fontId="0" fillId="13" borderId="0" xfId="0" applyFont="true" applyBorder="false" applyAlignment="false" applyProtection="false">
      <alignment horizontal="general" vertical="bottom"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4" fillId="9" borderId="0" xfId="0" applyFont="true" applyBorder="false" applyAlignment="false" applyProtection="false">
      <alignment horizontal="general" vertical="bottom" textRotation="0" wrapText="false" indent="0" shrinkToFit="false"/>
      <protection locked="true" hidden="false"/>
    </xf>
    <xf numFmtId="164" fontId="0" fillId="14" borderId="14" xfId="0" applyFont="false" applyBorder="true" applyAlignment="false" applyProtection="false">
      <alignment horizontal="general" vertical="bottom" textRotation="0" wrapText="false" indent="0" shrinkToFit="false"/>
      <protection locked="true" hidden="false"/>
    </xf>
    <xf numFmtId="164" fontId="4" fillId="9" borderId="14" xfId="0" applyFont="true" applyBorder="true" applyAlignment="false" applyProtection="false">
      <alignment horizontal="general" vertical="bottom" textRotation="0" wrapText="false" indent="0" shrinkToFit="false"/>
      <protection locked="true" hidden="false"/>
    </xf>
    <xf numFmtId="164" fontId="0" fillId="15" borderId="1" xfId="0" applyFont="true" applyBorder="true" applyAlignment="false" applyProtection="false">
      <alignment horizontal="general" vertical="bottom" textRotation="0" wrapText="false" indent="0" shrinkToFit="false"/>
      <protection locked="true" hidden="false"/>
    </xf>
    <xf numFmtId="164" fontId="0" fillId="16" borderId="1" xfId="0" applyFont="true" applyBorder="true" applyAlignment="false" applyProtection="false">
      <alignment horizontal="general" vertical="bottom" textRotation="0" wrapText="false" indent="0" shrinkToFit="false"/>
      <protection locked="true" hidden="false"/>
    </xf>
    <xf numFmtId="165" fontId="5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21"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56" fillId="0" borderId="0" xfId="21"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2"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64" fontId="0" fillId="17" borderId="0" xfId="0" applyFont="true" applyBorder="false" applyAlignment="false" applyProtection="false">
      <alignment horizontal="general" vertical="bottom" textRotation="0" wrapText="false" indent="0" shrinkToFit="false"/>
      <protection locked="true" hidden="false"/>
    </xf>
    <xf numFmtId="164" fontId="61" fillId="17" borderId="0" xfId="21" applyFont="true" applyBorder="false" applyAlignment="true" applyProtection="false">
      <alignment horizontal="left" vertical="center" textRotation="0" wrapText="false" indent="0" shrinkToFit="false"/>
      <protection locked="true" hidden="false"/>
    </xf>
    <xf numFmtId="164" fontId="61" fillId="16" borderId="0" xfId="21" applyFont="true" applyBorder="false" applyAlignment="true" applyProtection="false">
      <alignment horizontal="left" vertical="center" textRotation="0" wrapText="false" indent="0" shrinkToFit="false"/>
      <protection locked="true" hidden="false"/>
    </xf>
    <xf numFmtId="164" fontId="61" fillId="18" borderId="0" xfId="21" applyFont="true" applyBorder="false" applyAlignment="true" applyProtection="false">
      <alignment horizontal="left" vertical="center" textRotation="0" wrapText="false" indent="0" shrinkToFit="false"/>
      <protection locked="true" hidden="false"/>
    </xf>
    <xf numFmtId="164" fontId="0" fillId="19" borderId="0" xfId="0" applyFont="true" applyBorder="false" applyAlignment="false" applyProtection="false">
      <alignment horizontal="general" vertical="bottom" textRotation="0" wrapText="false" indent="0" shrinkToFit="false"/>
      <protection locked="true" hidden="false"/>
    </xf>
    <xf numFmtId="164" fontId="6" fillId="6" borderId="10" xfId="0" applyFont="true" applyBorder="true" applyAlignment="true" applyProtection="false">
      <alignment horizontal="left"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64" fontId="6" fillId="6" borderId="11" xfId="0" applyFont="true" applyBorder="true" applyAlignment="true" applyProtection="false">
      <alignment horizontal="left" vertical="bottom" textRotation="0" wrapText="false" indent="0" shrinkToFit="false"/>
      <protection locked="true" hidden="false"/>
    </xf>
    <xf numFmtId="169" fontId="8" fillId="20" borderId="0" xfId="21" applyFont="true" applyBorder="false" applyAlignment="true" applyProtection="false">
      <alignment horizontal="right" vertical="center" textRotation="0" wrapText="false" indent="0" shrinkToFit="true"/>
      <protection locked="true" hidden="false"/>
    </xf>
    <xf numFmtId="169" fontId="8" fillId="21" borderId="0" xfId="21" applyFont="true" applyBorder="false" applyAlignment="true" applyProtection="false">
      <alignment horizontal="right" vertical="center" textRotation="0" wrapText="false" indent="0" shrinkToFit="true"/>
      <protection locked="true" hidden="false"/>
    </xf>
    <xf numFmtId="164" fontId="6" fillId="6" borderId="12" xfId="0" applyFont="true" applyBorder="true" applyAlignment="true" applyProtection="false">
      <alignment horizontal="left" vertical="bottom" textRotation="0" wrapText="false" indent="0" shrinkToFit="false"/>
      <protection locked="true" hidden="false"/>
    </xf>
    <xf numFmtId="164" fontId="0" fillId="20" borderId="0" xfId="0" applyFont="false" applyBorder="false" applyAlignment="false" applyProtection="false">
      <alignment horizontal="general" vertical="bottom" textRotation="0" wrapText="false" indent="0" shrinkToFit="false"/>
      <protection locked="true" hidden="false"/>
    </xf>
    <xf numFmtId="164" fontId="4" fillId="20" borderId="0" xfId="21" applyFont="true" applyBorder="false" applyAlignment="false" applyProtection="false">
      <alignment horizontal="general" vertical="bottom" textRotation="0" wrapText="false" indent="0" shrinkToFit="false"/>
      <protection locked="true" hidden="false"/>
    </xf>
    <xf numFmtId="174" fontId="4" fillId="20" borderId="0" xfId="21" applyFont="tru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bottom" textRotation="0" wrapText="false" indent="0" shrinkToFit="false"/>
      <protection locked="true" hidden="false"/>
    </xf>
    <xf numFmtId="173" fontId="0" fillId="0" borderId="0" xfId="0" applyFont="false" applyBorder="true" applyAlignment="false" applyProtection="false">
      <alignment horizontal="general" vertical="bottom" textRotation="0" wrapText="false" indent="0" shrinkToFit="false"/>
      <protection locked="true" hidden="false"/>
    </xf>
    <xf numFmtId="164" fontId="0" fillId="9" borderId="0" xfId="0" applyFont="true" applyBorder="false" applyAlignment="false" applyProtection="false">
      <alignment horizontal="general" vertical="bottom" textRotation="0" wrapText="false" indent="0" shrinkToFit="false"/>
      <protection locked="true" hidden="false"/>
    </xf>
    <xf numFmtId="164" fontId="0" fillId="22" borderId="0" xfId="0" applyFont="true" applyBorder="false" applyAlignment="false" applyProtection="false">
      <alignment horizontal="general" vertical="bottom" textRotation="0" wrapText="false" indent="0" shrinkToFit="false"/>
      <protection locked="true" hidden="false"/>
    </xf>
    <xf numFmtId="173" fontId="0" fillId="0" borderId="0" xfId="0" applyFont="fals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0" fillId="23" borderId="0" xfId="0" applyFont="false" applyBorder="false" applyAlignment="false" applyProtection="false">
      <alignment horizontal="general" vertical="bottom" textRotation="0" wrapText="false" indent="0" shrinkToFit="false"/>
      <protection locked="true" hidden="false"/>
    </xf>
    <xf numFmtId="164" fontId="65" fillId="0" borderId="0" xfId="0" applyFont="true" applyBorder="false" applyAlignment="false" applyProtection="fals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e 2" xfId="21"/>
    <cellStyle name="*unknown*" xfId="20" builtinId="8"/>
  </cellStyles>
  <dxfs count="14">
    <dxf>
      <font>
        <color rgb="FF000000"/>
      </font>
      <fill>
        <patternFill>
          <bgColor theme="9" tint="0.3999"/>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s>
  <colors>
    <indexedColors>
      <rgbColor rgb="FF000000"/>
      <rgbColor rgb="FFFFFFFF"/>
      <rgbColor rgb="FFFF0000"/>
      <rgbColor rgb="FFFFFC4F"/>
      <rgbColor rgb="FF0000FF"/>
      <rgbColor rgb="FFFFFF00"/>
      <rgbColor rgb="FFFF00FF"/>
      <rgbColor rgb="FFDCE6F1"/>
      <rgbColor rgb="FF9C0006"/>
      <rgbColor rgb="FF006100"/>
      <rgbColor rgb="FF000080"/>
      <rgbColor rgb="FF806000"/>
      <rgbColor rgb="FF800080"/>
      <rgbColor rgb="FFFFF2CC"/>
      <rgbColor rgb="FFBFBFBF"/>
      <rgbColor rgb="FF5B9BD5"/>
      <rgbColor rgb="FFB0B0B0"/>
      <rgbColor rgb="FFFFE699"/>
      <rgbColor rgb="FFFFFFCC"/>
      <rgbColor rgb="FFCCECFF"/>
      <rgbColor rgb="FF660066"/>
      <rgbColor rgb="FFD0CECE"/>
      <rgbColor rgb="FF0563C1"/>
      <rgbColor rgb="FFBDD7EE"/>
      <rgbColor rgb="FF000080"/>
      <rgbColor rgb="FFFF00FF"/>
      <rgbColor rgb="FFFFFF47"/>
      <rgbColor rgb="FFF6F6F6"/>
      <rgbColor rgb="FF800080"/>
      <rgbColor rgb="FFC00000"/>
      <rgbColor rgb="FF008080"/>
      <rgbColor rgb="FF0000FF"/>
      <rgbColor rgb="FFFBE5D6"/>
      <rgbColor rgb="FFC6EFCE"/>
      <rgbColor rgb="FFB6FCC7"/>
      <rgbColor rgb="FFFFFF85"/>
      <rgbColor rgb="FFB4C7E7"/>
      <rgbColor rgb="FFFFC7CE"/>
      <rgbColor rgb="FFC28BC4"/>
      <rgbColor rgb="FFF8CBAD"/>
      <rgbColor rgb="FF4472C4"/>
      <rgbColor rgb="FFD9D9D9"/>
      <rgbColor rgb="FFA9D18E"/>
      <rgbColor rgb="FFFFC000"/>
      <rgbColor rgb="FFFFD966"/>
      <rgbColor rgb="FFED7D31"/>
      <rgbColor rgb="FF595959"/>
      <rgbColor rgb="FFA5A5A5"/>
      <rgbColor rgb="FF003366"/>
      <rgbColor rgb="FF70AD47"/>
      <rgbColor rgb="FF003300"/>
      <rgbColor rgb="FF333300"/>
      <rgbColor rgb="FF993300"/>
      <rgbColor rgb="FFFFE7A1"/>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Relationship Id="rId15" Type="http://schemas.openxmlformats.org/officeDocument/2006/relationships/customXml" Target="../customXml/item1.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_rels/chart14.xml.rels><?xml version="1.0" encoding="UTF-8"?>
<Relationships xmlns="http://schemas.openxmlformats.org/package/2006/relationships"><Relationship Id="rId1" Type="http://schemas.microsoft.com/office/2011/relationships/chartStyle" Target="style14.xml"/><Relationship Id="rId2" Type="http://schemas.microsoft.com/office/2011/relationships/chartColorStyle" Target="colors14.xml"/>
</Relationships>
</file>

<file path=xl/charts/_rels/chart15.xml.rels><?xml version="1.0" encoding="UTF-8"?>
<Relationships xmlns="http://schemas.openxmlformats.org/package/2006/relationships"><Relationship Id="rId1" Type="http://schemas.microsoft.com/office/2011/relationships/chartStyle" Target="style15.xml"/><Relationship Id="rId2" Type="http://schemas.microsoft.com/office/2011/relationships/chartColorStyle" Target="colors15.xml"/>
</Relationships>
</file>

<file path=xl/charts/_rels/chart16.xml.rels><?xml version="1.0" encoding="UTF-8"?>
<Relationships xmlns="http://schemas.openxmlformats.org/package/2006/relationships"><Relationship Id="rId1" Type="http://schemas.microsoft.com/office/2011/relationships/chartStyle" Target="style16.xml"/><Relationship Id="rId2" Type="http://schemas.microsoft.com/office/2011/relationships/chartColorStyle" Target="colors16.xml"/>
</Relationships>
</file>

<file path=xl/charts/_rels/chart17.xml.rels><?xml version="1.0" encoding="UTF-8"?>
<Relationships xmlns="http://schemas.openxmlformats.org/package/2006/relationships"><Relationship Id="rId1" Type="http://schemas.microsoft.com/office/2011/relationships/chartStyle" Target="style17.xml"/><Relationship Id="rId2" Type="http://schemas.microsoft.com/office/2011/relationships/chartColorStyle" Target="colors17.xml"/>
</Relationships>
</file>

<file path=xl/charts/_rels/chart18.xml.rels><?xml version="1.0" encoding="UTF-8"?>
<Relationships xmlns="http://schemas.openxmlformats.org/package/2006/relationships"><Relationship Id="rId1" Type="http://schemas.microsoft.com/office/2011/relationships/chartStyle" Target="style18.xml"/><Relationship Id="rId2" Type="http://schemas.microsoft.com/office/2011/relationships/chartColorStyle" Target="colors18.xml"/>
</Relationships>
</file>

<file path=xl/charts/_rels/chart19.xml.rels><?xml version="1.0" encoding="UTF-8"?>
<Relationships xmlns="http://schemas.openxmlformats.org/package/2006/relationships"><Relationship Id="rId1" Type="http://schemas.microsoft.com/office/2011/relationships/chartStyle" Target="style19.xml"/><Relationship Id="rId2" Type="http://schemas.microsoft.com/office/2011/relationships/chartColorStyle" Target="colors19.xml"/>
</Relationships>
</file>

<file path=xl/charts/_rels/chart20.xml.rels><?xml version="1.0" encoding="UTF-8"?>
<Relationships xmlns="http://schemas.openxmlformats.org/package/2006/relationships"><Relationship Id="rId1" Type="http://schemas.microsoft.com/office/2011/relationships/chartStyle" Target="style20.xml"/><Relationship Id="rId2" Type="http://schemas.microsoft.com/office/2011/relationships/chartColorStyle" Target="colors20.xml"/>
</Relationships>
</file>

<file path=xl/charts/_rels/chart21.xml.rels><?xml version="1.0" encoding="UTF-8"?>
<Relationships xmlns="http://schemas.openxmlformats.org/package/2006/relationships"><Relationship Id="rId1" Type="http://schemas.microsoft.com/office/2011/relationships/chartStyle" Target="style21.xml"/><Relationship Id="rId2" Type="http://schemas.microsoft.com/office/2011/relationships/chartColorStyle" Target="colors21.xml"/>
</Relationships>
</file>

<file path=xl/charts/_rels/chart22.xml.rels><?xml version="1.0" encoding="UTF-8"?>
<Relationships xmlns="http://schemas.openxmlformats.org/package/2006/relationships"><Relationship Id="rId1" Type="http://schemas.microsoft.com/office/2011/relationships/chartStyle" Target="style22.xml"/><Relationship Id="rId2" Type="http://schemas.microsoft.com/office/2011/relationships/chartColorStyle" Target="colors22.xml"/>
</Relationships>
</file>

<file path=xl/charts/_rels/chart23.xml.rels><?xml version="1.0" encoding="UTF-8"?>
<Relationships xmlns="http://schemas.openxmlformats.org/package/2006/relationships"><Relationship Id="rId1" Type="http://schemas.microsoft.com/office/2011/relationships/chartStyle" Target="style23.xml"/><Relationship Id="rId2" Type="http://schemas.microsoft.com/office/2011/relationships/chartColorStyle" Target="colors23.xml"/>
</Relationships>
</file>

<file path=xl/charts/_rels/chart24.xml.rels><?xml version="1.0" encoding="UTF-8"?>
<Relationships xmlns="http://schemas.openxmlformats.org/package/2006/relationships"><Relationship Id="rId1" Type="http://schemas.microsoft.com/office/2011/relationships/chartStyle" Target="style24.xml"/><Relationship Id="rId2" Type="http://schemas.microsoft.com/office/2011/relationships/chartColorStyle" Target="colors24.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en-US" sz="1400" b="0" u="none" strike="noStrike">
                <a:solidFill>
                  <a:schemeClr val="tx1">
                    <a:lumMod val="65000"/>
                    <a:lumOff val="35000"/>
                  </a:schemeClr>
                </a:solidFill>
                <a:uFillTx/>
                <a:latin typeface="Calibri"/>
              </a:rPr>
              <a:t>Debito pubblico Trimestrale</a:t>
            </a:r>
          </a:p>
        </c:rich>
      </c:tx>
      <c:layout>
        <c:manualLayout>
          <c:xMode val="edge"/>
          <c:yMode val="edge"/>
          <c:x val="0.321696480092325"/>
          <c:y val="0.0211970074812968"/>
        </c:manualLayout>
      </c:layout>
      <c:overlay val="0"/>
      <c:spPr>
        <a:noFill/>
        <a:ln w="0">
          <a:noFill/>
        </a:ln>
      </c:spPr>
    </c:title>
    <c:autoTitleDeleted val="0"/>
    <c:plotArea>
      <c:lineChart>
        <c:grouping val="standard"/>
        <c:varyColors val="0"/>
        <c:ser>
          <c:idx val="0"/>
          <c:order val="0"/>
          <c:tx>
            <c:strRef>
              <c:f>'DATABASE 1'!$B$19</c:f>
              <c:strCache>
                <c:ptCount val="1"/>
                <c:pt idx="0">
                  <c:v>UNIONE EUROPEA (27 paesi membri)</c:v>
                </c:pt>
              </c:strCache>
            </c:strRef>
          </c:tx>
          <c:spPr>
            <a:solidFill>
              <a:srgbClr val="4472C4"/>
            </a:solidFill>
            <a:ln cap="rnd" w="28440">
              <a:solidFill>
                <a:srgbClr val="4472C4"/>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strRef>
              <c:f>'DATABASE 1'!$A$20:$A$35</c:f>
              <c:strCache>
                <c:ptCount val="16"/>
                <c:pt idx="0">
                  <c:v>2007-Q1</c:v>
                </c:pt>
                <c:pt idx="1">
                  <c:v>2007-Q2</c:v>
                </c:pt>
                <c:pt idx="2">
                  <c:v>2007-Q3</c:v>
                </c:pt>
                <c:pt idx="3">
                  <c:v>2007-Q4</c:v>
                </c:pt>
                <c:pt idx="4">
                  <c:v>2008-Q1</c:v>
                </c:pt>
                <c:pt idx="5">
                  <c:v>2008-Q2</c:v>
                </c:pt>
                <c:pt idx="6">
                  <c:v>2008-Q3</c:v>
                </c:pt>
                <c:pt idx="7">
                  <c:v>2008-Q4</c:v>
                </c:pt>
                <c:pt idx="8">
                  <c:v>2009-Q1</c:v>
                </c:pt>
                <c:pt idx="9">
                  <c:v>2009-Q2</c:v>
                </c:pt>
                <c:pt idx="10">
                  <c:v>2009-Q3</c:v>
                </c:pt>
                <c:pt idx="11">
                  <c:v>2009-Q4</c:v>
                </c:pt>
                <c:pt idx="12">
                  <c:v>2010-Q1</c:v>
                </c:pt>
                <c:pt idx="13">
                  <c:v>2010-Q2</c:v>
                </c:pt>
                <c:pt idx="14">
                  <c:v>2010-Q3</c:v>
                </c:pt>
                <c:pt idx="15">
                  <c:v>2010-Q4</c:v>
                </c:pt>
              </c:strCache>
            </c:strRef>
          </c:cat>
          <c:val>
            <c:numRef>
              <c:f>'DATABASE 1'!$B$20:$B$35</c:f>
              <c:numCache>
                <c:formatCode>General</c:formatCode>
                <c:ptCount val="16"/>
                <c:pt idx="0">
                  <c:v>6712920.8</c:v>
                </c:pt>
                <c:pt idx="1">
                  <c:v>6801412</c:v>
                </c:pt>
                <c:pt idx="2">
                  <c:v>6793490.4</c:v>
                </c:pt>
                <c:pt idx="3">
                  <c:v>6728775.4</c:v>
                </c:pt>
                <c:pt idx="4">
                  <c:v>6865601.1</c:v>
                </c:pt>
                <c:pt idx="5">
                  <c:v>6973257.3</c:v>
                </c:pt>
                <c:pt idx="6">
                  <c:v>7019601.4</c:v>
                </c:pt>
                <c:pt idx="7">
                  <c:v>7249226.5</c:v>
                </c:pt>
                <c:pt idx="8">
                  <c:v>7546208.8</c:v>
                </c:pt>
                <c:pt idx="9">
                  <c:v>7811322.1</c:v>
                </c:pt>
                <c:pt idx="10">
                  <c:v>7973928.9</c:v>
                </c:pt>
                <c:pt idx="11">
                  <c:v>8066255.7</c:v>
                </c:pt>
                <c:pt idx="12">
                  <c:v>8290391.5</c:v>
                </c:pt>
                <c:pt idx="13">
                  <c:v>8476370.6</c:v>
                </c:pt>
                <c:pt idx="14">
                  <c:v>8580057.7</c:v>
                </c:pt>
                <c:pt idx="15">
                  <c:v>8880738.8</c:v>
                </c:pt>
              </c:numCache>
            </c:numRef>
          </c:val>
          <c:smooth val="0"/>
        </c:ser>
        <c:ser>
          <c:idx val="1"/>
          <c:order val="1"/>
          <c:tx>
            <c:strRef>
              <c:f>'DATABASE 1'!$C$19</c:f>
              <c:strCache>
                <c:ptCount val="1"/>
                <c:pt idx="0">
                  <c:v>Germania</c:v>
                </c:pt>
              </c:strCache>
            </c:strRef>
          </c:tx>
          <c:spPr>
            <a:solidFill>
              <a:srgbClr val="ED7D31"/>
            </a:solidFill>
            <a:ln cap="rnd" w="28440">
              <a:solidFill>
                <a:srgbClr val="ED7D31"/>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strRef>
              <c:f>'DATABASE 1'!$A$20:$A$35</c:f>
              <c:strCache>
                <c:ptCount val="16"/>
                <c:pt idx="0">
                  <c:v>2007-Q1</c:v>
                </c:pt>
                <c:pt idx="1">
                  <c:v>2007-Q2</c:v>
                </c:pt>
                <c:pt idx="2">
                  <c:v>2007-Q3</c:v>
                </c:pt>
                <c:pt idx="3">
                  <c:v>2007-Q4</c:v>
                </c:pt>
                <c:pt idx="4">
                  <c:v>2008-Q1</c:v>
                </c:pt>
                <c:pt idx="5">
                  <c:v>2008-Q2</c:v>
                </c:pt>
                <c:pt idx="6">
                  <c:v>2008-Q3</c:v>
                </c:pt>
                <c:pt idx="7">
                  <c:v>2008-Q4</c:v>
                </c:pt>
                <c:pt idx="8">
                  <c:v>2009-Q1</c:v>
                </c:pt>
                <c:pt idx="9">
                  <c:v>2009-Q2</c:v>
                </c:pt>
                <c:pt idx="10">
                  <c:v>2009-Q3</c:v>
                </c:pt>
                <c:pt idx="11">
                  <c:v>2009-Q4</c:v>
                </c:pt>
                <c:pt idx="12">
                  <c:v>2010-Q1</c:v>
                </c:pt>
                <c:pt idx="13">
                  <c:v>2010-Q2</c:v>
                </c:pt>
                <c:pt idx="14">
                  <c:v>2010-Q3</c:v>
                </c:pt>
                <c:pt idx="15">
                  <c:v>2010-Q4</c:v>
                </c:pt>
              </c:strCache>
            </c:strRef>
          </c:cat>
          <c:val>
            <c:numRef>
              <c:f>'DATABASE 1'!$C$20:$C$35</c:f>
              <c:numCache>
                <c:formatCode>0.00</c:formatCode>
                <c:ptCount val="16"/>
                <c:pt idx="0">
                  <c:v>1613974.4</c:v>
                </c:pt>
                <c:pt idx="1">
                  <c:v>1632335.5</c:v>
                </c:pt>
                <c:pt idx="2">
                  <c:v>1612995</c:v>
                </c:pt>
                <c:pt idx="3">
                  <c:v>1619064.6</c:v>
                </c:pt>
                <c:pt idx="4">
                  <c:v>1637561.7</c:v>
                </c:pt>
                <c:pt idx="5">
                  <c:v>1673210.6</c:v>
                </c:pt>
                <c:pt idx="6">
                  <c:v>1668645.1</c:v>
                </c:pt>
                <c:pt idx="7">
                  <c:v>1687442</c:v>
                </c:pt>
                <c:pt idx="8">
                  <c:v>1717521.1</c:v>
                </c:pt>
                <c:pt idx="9">
                  <c:v>1783016.1</c:v>
                </c:pt>
                <c:pt idx="10">
                  <c:v>1791086.9</c:v>
                </c:pt>
                <c:pt idx="11">
                  <c:v>1804696</c:v>
                </c:pt>
                <c:pt idx="12">
                  <c:v>1824334.3</c:v>
                </c:pt>
                <c:pt idx="13">
                  <c:v>1865708.4</c:v>
                </c:pt>
                <c:pt idx="14">
                  <c:v>1891869.7</c:v>
                </c:pt>
                <c:pt idx="15">
                  <c:v>2119241.8</c:v>
                </c:pt>
              </c:numCache>
            </c:numRef>
          </c:val>
          <c:smooth val="0"/>
        </c:ser>
        <c:ser>
          <c:idx val="2"/>
          <c:order val="2"/>
          <c:tx>
            <c:strRef>
              <c:f>'DATABASE 1'!$D$19</c:f>
              <c:strCache>
                <c:ptCount val="1"/>
                <c:pt idx="0">
                  <c:v>Spagna</c:v>
                </c:pt>
              </c:strCache>
            </c:strRef>
          </c:tx>
          <c:spPr>
            <a:solidFill>
              <a:srgbClr val="A5A5A5"/>
            </a:solidFill>
            <a:ln cap="rnd" w="28440">
              <a:solidFill>
                <a:srgbClr val="A5A5A5"/>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strRef>
              <c:f>'DATABASE 1'!$A$20:$A$35</c:f>
              <c:strCache>
                <c:ptCount val="16"/>
                <c:pt idx="0">
                  <c:v>2007-Q1</c:v>
                </c:pt>
                <c:pt idx="1">
                  <c:v>2007-Q2</c:v>
                </c:pt>
                <c:pt idx="2">
                  <c:v>2007-Q3</c:v>
                </c:pt>
                <c:pt idx="3">
                  <c:v>2007-Q4</c:v>
                </c:pt>
                <c:pt idx="4">
                  <c:v>2008-Q1</c:v>
                </c:pt>
                <c:pt idx="5">
                  <c:v>2008-Q2</c:v>
                </c:pt>
                <c:pt idx="6">
                  <c:v>2008-Q3</c:v>
                </c:pt>
                <c:pt idx="7">
                  <c:v>2008-Q4</c:v>
                </c:pt>
                <c:pt idx="8">
                  <c:v>2009-Q1</c:v>
                </c:pt>
                <c:pt idx="9">
                  <c:v>2009-Q2</c:v>
                </c:pt>
                <c:pt idx="10">
                  <c:v>2009-Q3</c:v>
                </c:pt>
                <c:pt idx="11">
                  <c:v>2009-Q4</c:v>
                </c:pt>
                <c:pt idx="12">
                  <c:v>2010-Q1</c:v>
                </c:pt>
                <c:pt idx="13">
                  <c:v>2010-Q2</c:v>
                </c:pt>
                <c:pt idx="14">
                  <c:v>2010-Q3</c:v>
                </c:pt>
                <c:pt idx="15">
                  <c:v>2010-Q4</c:v>
                </c:pt>
              </c:strCache>
            </c:strRef>
          </c:cat>
          <c:val>
            <c:numRef>
              <c:f>'DATABASE 1'!$D$20:$D$35</c:f>
              <c:numCache>
                <c:formatCode>0.00</c:formatCode>
                <c:ptCount val="16"/>
                <c:pt idx="0">
                  <c:v>398734</c:v>
                </c:pt>
                <c:pt idx="1">
                  <c:v>400012</c:v>
                </c:pt>
                <c:pt idx="2">
                  <c:v>391300</c:v>
                </c:pt>
                <c:pt idx="3">
                  <c:v>384662</c:v>
                </c:pt>
                <c:pt idx="4">
                  <c:v>380270</c:v>
                </c:pt>
                <c:pt idx="5">
                  <c:v>390638</c:v>
                </c:pt>
                <c:pt idx="6">
                  <c:v>403722</c:v>
                </c:pt>
                <c:pt idx="7">
                  <c:v>440621</c:v>
                </c:pt>
                <c:pt idx="8">
                  <c:v>473710</c:v>
                </c:pt>
                <c:pt idx="9">
                  <c:v>511173</c:v>
                </c:pt>
                <c:pt idx="10">
                  <c:v>533678</c:v>
                </c:pt>
                <c:pt idx="11">
                  <c:v>569535</c:v>
                </c:pt>
                <c:pt idx="12">
                  <c:v>586851</c:v>
                </c:pt>
                <c:pt idx="13">
                  <c:v>609032</c:v>
                </c:pt>
                <c:pt idx="14">
                  <c:v>620541</c:v>
                </c:pt>
                <c:pt idx="15">
                  <c:v>649153</c:v>
                </c:pt>
              </c:numCache>
            </c:numRef>
          </c:val>
          <c:smooth val="0"/>
        </c:ser>
        <c:ser>
          <c:idx val="3"/>
          <c:order val="3"/>
          <c:tx>
            <c:strRef>
              <c:f>'DATABASE 1'!$E$19</c:f>
              <c:strCache>
                <c:ptCount val="1"/>
                <c:pt idx="0">
                  <c:v>Francia</c:v>
                </c:pt>
              </c:strCache>
            </c:strRef>
          </c:tx>
          <c:spPr>
            <a:solidFill>
              <a:srgbClr val="FFC000"/>
            </a:solidFill>
            <a:ln cap="rnd" w="28440">
              <a:solidFill>
                <a:srgbClr val="FFC000"/>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strRef>
              <c:f>'DATABASE 1'!$A$20:$A$35</c:f>
              <c:strCache>
                <c:ptCount val="16"/>
                <c:pt idx="0">
                  <c:v>2007-Q1</c:v>
                </c:pt>
                <c:pt idx="1">
                  <c:v>2007-Q2</c:v>
                </c:pt>
                <c:pt idx="2">
                  <c:v>2007-Q3</c:v>
                </c:pt>
                <c:pt idx="3">
                  <c:v>2007-Q4</c:v>
                </c:pt>
                <c:pt idx="4">
                  <c:v>2008-Q1</c:v>
                </c:pt>
                <c:pt idx="5">
                  <c:v>2008-Q2</c:v>
                </c:pt>
                <c:pt idx="6">
                  <c:v>2008-Q3</c:v>
                </c:pt>
                <c:pt idx="7">
                  <c:v>2008-Q4</c:v>
                </c:pt>
                <c:pt idx="8">
                  <c:v>2009-Q1</c:v>
                </c:pt>
                <c:pt idx="9">
                  <c:v>2009-Q2</c:v>
                </c:pt>
                <c:pt idx="10">
                  <c:v>2009-Q3</c:v>
                </c:pt>
                <c:pt idx="11">
                  <c:v>2009-Q4</c:v>
                </c:pt>
                <c:pt idx="12">
                  <c:v>2010-Q1</c:v>
                </c:pt>
                <c:pt idx="13">
                  <c:v>2010-Q2</c:v>
                </c:pt>
                <c:pt idx="14">
                  <c:v>2010-Q3</c:v>
                </c:pt>
                <c:pt idx="15">
                  <c:v>2010-Q4</c:v>
                </c:pt>
              </c:strCache>
            </c:strRef>
          </c:cat>
          <c:val>
            <c:numRef>
              <c:f>'DATABASE 1'!$E$20:$E$35</c:f>
              <c:numCache>
                <c:formatCode>0.00</c:formatCode>
                <c:ptCount val="16"/>
                <c:pt idx="0">
                  <c:v>1244508.9</c:v>
                </c:pt>
                <c:pt idx="1">
                  <c:v>1277565</c:v>
                </c:pt>
                <c:pt idx="2">
                  <c:v>1280494.8</c:v>
                </c:pt>
                <c:pt idx="3">
                  <c:v>1268858.7</c:v>
                </c:pt>
                <c:pt idx="4">
                  <c:v>1311092.4</c:v>
                </c:pt>
                <c:pt idx="5">
                  <c:v>1330957.1</c:v>
                </c:pt>
                <c:pt idx="6">
                  <c:v>1348710.1</c:v>
                </c:pt>
                <c:pt idx="7">
                  <c:v>1389401.6</c:v>
                </c:pt>
                <c:pt idx="8">
                  <c:v>1472910.6</c:v>
                </c:pt>
                <c:pt idx="9">
                  <c:v>1561745.9</c:v>
                </c:pt>
                <c:pt idx="10">
                  <c:v>1601408.3</c:v>
                </c:pt>
                <c:pt idx="11">
                  <c:v>1627182.2</c:v>
                </c:pt>
                <c:pt idx="12">
                  <c:v>1672652.4</c:v>
                </c:pt>
                <c:pt idx="13">
                  <c:v>1730926.2</c:v>
                </c:pt>
                <c:pt idx="14">
                  <c:v>1710061.3</c:v>
                </c:pt>
                <c:pt idx="15">
                  <c:v>1722172.2</c:v>
                </c:pt>
              </c:numCache>
            </c:numRef>
          </c:val>
          <c:smooth val="0"/>
        </c:ser>
        <c:ser>
          <c:idx val="4"/>
          <c:order val="4"/>
          <c:tx>
            <c:strRef>
              <c:f>'DATABASE 1'!$F$19</c:f>
              <c:strCache>
                <c:ptCount val="1"/>
                <c:pt idx="0">
                  <c:v>Italia</c:v>
                </c:pt>
              </c:strCache>
            </c:strRef>
          </c:tx>
          <c:spPr>
            <a:solidFill>
              <a:srgbClr val="5B9BD5"/>
            </a:solidFill>
            <a:ln cap="rnd" w="28440">
              <a:solidFill>
                <a:srgbClr val="5B9BD5"/>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strRef>
              <c:f>'DATABASE 1'!$A$20:$A$35</c:f>
              <c:strCache>
                <c:ptCount val="16"/>
                <c:pt idx="0">
                  <c:v>2007-Q1</c:v>
                </c:pt>
                <c:pt idx="1">
                  <c:v>2007-Q2</c:v>
                </c:pt>
                <c:pt idx="2">
                  <c:v>2007-Q3</c:v>
                </c:pt>
                <c:pt idx="3">
                  <c:v>2007-Q4</c:v>
                </c:pt>
                <c:pt idx="4">
                  <c:v>2008-Q1</c:v>
                </c:pt>
                <c:pt idx="5">
                  <c:v>2008-Q2</c:v>
                </c:pt>
                <c:pt idx="6">
                  <c:v>2008-Q3</c:v>
                </c:pt>
                <c:pt idx="7">
                  <c:v>2008-Q4</c:v>
                </c:pt>
                <c:pt idx="8">
                  <c:v>2009-Q1</c:v>
                </c:pt>
                <c:pt idx="9">
                  <c:v>2009-Q2</c:v>
                </c:pt>
                <c:pt idx="10">
                  <c:v>2009-Q3</c:v>
                </c:pt>
                <c:pt idx="11">
                  <c:v>2009-Q4</c:v>
                </c:pt>
                <c:pt idx="12">
                  <c:v>2010-Q1</c:v>
                </c:pt>
                <c:pt idx="13">
                  <c:v>2010-Q2</c:v>
                </c:pt>
                <c:pt idx="14">
                  <c:v>2010-Q3</c:v>
                </c:pt>
                <c:pt idx="15">
                  <c:v>2010-Q4</c:v>
                </c:pt>
              </c:strCache>
            </c:strRef>
          </c:cat>
          <c:val>
            <c:numRef>
              <c:f>'DATABASE 1'!$F$20:$F$35</c:f>
              <c:numCache>
                <c:formatCode>0.00</c:formatCode>
                <c:ptCount val="16"/>
                <c:pt idx="0">
                  <c:v>1686726.2</c:v>
                </c:pt>
                <c:pt idx="1">
                  <c:v>1701397.6</c:v>
                </c:pt>
                <c:pt idx="2">
                  <c:v>1700613.2</c:v>
                </c:pt>
                <c:pt idx="3">
                  <c:v>1677724.7</c:v>
                </c:pt>
                <c:pt idx="4">
                  <c:v>1726515.8</c:v>
                </c:pt>
                <c:pt idx="5">
                  <c:v>1729967.5</c:v>
                </c:pt>
                <c:pt idx="6">
                  <c:v>1725417.1</c:v>
                </c:pt>
                <c:pt idx="7">
                  <c:v>1738851.1</c:v>
                </c:pt>
                <c:pt idx="8">
                  <c:v>1817403.7</c:v>
                </c:pt>
                <c:pt idx="9">
                  <c:v>1829545.6</c:v>
                </c:pt>
                <c:pt idx="10">
                  <c:v>1865426.8</c:v>
                </c:pt>
                <c:pt idx="11">
                  <c:v>1839486.4</c:v>
                </c:pt>
                <c:pt idx="12">
                  <c:v>1876411.9</c:v>
                </c:pt>
                <c:pt idx="13">
                  <c:v>1900770.5</c:v>
                </c:pt>
                <c:pt idx="14">
                  <c:v>1921133.5</c:v>
                </c:pt>
                <c:pt idx="15">
                  <c:v>1921100.2</c:v>
                </c:pt>
              </c:numCache>
            </c:numRef>
          </c:val>
          <c:smooth val="0"/>
        </c:ser>
        <c:ser>
          <c:idx val="5"/>
          <c:order val="5"/>
          <c:tx>
            <c:strRef>
              <c:f>'DATABASE 1'!$G$19</c:f>
              <c:strCache>
                <c:ptCount val="1"/>
                <c:pt idx="0">
                  <c:v>Lussemburgo</c:v>
                </c:pt>
              </c:strCache>
            </c:strRef>
          </c:tx>
          <c:spPr>
            <a:solidFill>
              <a:srgbClr val="70AD47"/>
            </a:solidFill>
            <a:ln cap="rnd" w="28440">
              <a:solidFill>
                <a:srgbClr val="70AD47"/>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strRef>
              <c:f>'DATABASE 1'!$A$20:$A$35</c:f>
              <c:strCache>
                <c:ptCount val="16"/>
                <c:pt idx="0">
                  <c:v>2007-Q1</c:v>
                </c:pt>
                <c:pt idx="1">
                  <c:v>2007-Q2</c:v>
                </c:pt>
                <c:pt idx="2">
                  <c:v>2007-Q3</c:v>
                </c:pt>
                <c:pt idx="3">
                  <c:v>2007-Q4</c:v>
                </c:pt>
                <c:pt idx="4">
                  <c:v>2008-Q1</c:v>
                </c:pt>
                <c:pt idx="5">
                  <c:v>2008-Q2</c:v>
                </c:pt>
                <c:pt idx="6">
                  <c:v>2008-Q3</c:v>
                </c:pt>
                <c:pt idx="7">
                  <c:v>2008-Q4</c:v>
                </c:pt>
                <c:pt idx="8">
                  <c:v>2009-Q1</c:v>
                </c:pt>
                <c:pt idx="9">
                  <c:v>2009-Q2</c:v>
                </c:pt>
                <c:pt idx="10">
                  <c:v>2009-Q3</c:v>
                </c:pt>
                <c:pt idx="11">
                  <c:v>2009-Q4</c:v>
                </c:pt>
                <c:pt idx="12">
                  <c:v>2010-Q1</c:v>
                </c:pt>
                <c:pt idx="13">
                  <c:v>2010-Q2</c:v>
                </c:pt>
                <c:pt idx="14">
                  <c:v>2010-Q3</c:v>
                </c:pt>
                <c:pt idx="15">
                  <c:v>2010-Q4</c:v>
                </c:pt>
              </c:strCache>
            </c:strRef>
          </c:cat>
          <c:val>
            <c:numRef>
              <c:f>'DATABASE 1'!$G$20:$G$35</c:f>
              <c:numCache>
                <c:formatCode>0.00</c:formatCode>
                <c:ptCount val="16"/>
                <c:pt idx="0">
                  <c:v>2822.5</c:v>
                </c:pt>
                <c:pt idx="1">
                  <c:v>3016.2</c:v>
                </c:pt>
                <c:pt idx="2">
                  <c:v>3018.6</c:v>
                </c:pt>
                <c:pt idx="3">
                  <c:v>3045.9</c:v>
                </c:pt>
                <c:pt idx="4">
                  <c:v>3254.5</c:v>
                </c:pt>
                <c:pt idx="5">
                  <c:v>3297.7</c:v>
                </c:pt>
                <c:pt idx="6">
                  <c:v>3304.9</c:v>
                </c:pt>
                <c:pt idx="7">
                  <c:v>5852.4</c:v>
                </c:pt>
                <c:pt idx="8">
                  <c:v>6010.2</c:v>
                </c:pt>
                <c:pt idx="9">
                  <c:v>6040.6</c:v>
                </c:pt>
                <c:pt idx="10">
                  <c:v>6153.7</c:v>
                </c:pt>
                <c:pt idx="11">
                  <c:v>5969</c:v>
                </c:pt>
                <c:pt idx="12">
                  <c:v>6113.2</c:v>
                </c:pt>
                <c:pt idx="13">
                  <c:v>8149.3</c:v>
                </c:pt>
                <c:pt idx="14">
                  <c:v>8206.3</c:v>
                </c:pt>
                <c:pt idx="15">
                  <c:v>8094.5</c:v>
                </c:pt>
              </c:numCache>
            </c:numRef>
          </c:val>
          <c:smooth val="0"/>
        </c:ser>
        <c:hiLowLines>
          <c:spPr>
            <a:ln w="0">
              <a:noFill/>
            </a:ln>
          </c:spPr>
        </c:hiLowLines>
        <c:marker val="0"/>
        <c:axId val="12209225"/>
        <c:axId val="77351706"/>
      </c:lineChart>
      <c:catAx>
        <c:axId val="12209225"/>
        <c:scaling>
          <c:orientation val="minMax"/>
        </c:scaling>
        <c:delete val="0"/>
        <c:axPos val="b"/>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77351706"/>
        <c:crosses val="autoZero"/>
        <c:auto val="1"/>
        <c:lblAlgn val="ctr"/>
        <c:lblOffset val="100"/>
        <c:noMultiLvlLbl val="0"/>
      </c:catAx>
      <c:valAx>
        <c:axId val="77351706"/>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12209225"/>
        <c:crosses val="autoZero"/>
        <c:crossBetween val="between"/>
      </c:valAx>
      <c:spPr>
        <a:no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Calibri"/>
            </a:defRPr>
          </a:pPr>
        </a:p>
      </c:txPr>
    </c:legend>
    <c:plotVisOnly val="1"/>
    <c:dispBlanksAs val="gap"/>
  </c:chart>
  <c:spPr>
    <a:solidFill>
      <a:srgbClr val="FFFFFF"/>
    </a:solidFill>
    <a:ln w="9360">
      <a:solidFill>
        <a:schemeClr val="dk1">
          <a:lumMod val="15000"/>
          <a:lumOff val="85000"/>
        </a:schemeClr>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en-US" sz="1400" b="0" u="none" strike="noStrike">
                <a:solidFill>
                  <a:schemeClr val="tx1">
                    <a:lumMod val="65000"/>
                    <a:lumOff val="35000"/>
                  </a:schemeClr>
                </a:solidFill>
                <a:uFillTx/>
                <a:latin typeface="Calibri"/>
              </a:rPr>
              <a:t>Residui</a:t>
            </a:r>
          </a:p>
        </c:rich>
      </c:tx>
      <c:overlay val="0"/>
      <c:spPr>
        <a:noFill/>
        <a:ln w="0">
          <a:noFill/>
        </a:ln>
      </c:spPr>
    </c:title>
    <c:autoTitleDeleted val="0"/>
    <c:plotArea>
      <c:barChart>
        <c:barDir val="col"/>
        <c:grouping val="clustered"/>
        <c:varyColors val="0"/>
        <c:ser>
          <c:idx val="0"/>
          <c:order val="0"/>
          <c:spPr>
            <a:solidFill>
              <a:srgbClr val="4472C4"/>
            </a:solidFill>
            <a:ln w="19080">
              <a:solidFill>
                <a:srgbClr val="000000"/>
              </a:solidFill>
              <a:round/>
            </a:ln>
          </c:spPr>
          <c:invertIfNegative val="0"/>
          <c:dLbls>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'DATABASE 1'!$N$107:$N$114</c:f>
              <c:numCache>
                <c:formatCode>General</c:formatCode>
                <c:ptCount val="8"/>
                <c:pt idx="0">
                  <c:v>0</c:v>
                </c:pt>
                <c:pt idx="1">
                  <c:v>2</c:v>
                </c:pt>
                <c:pt idx="2">
                  <c:v>12</c:v>
                </c:pt>
                <c:pt idx="3">
                  <c:v>1</c:v>
                </c:pt>
                <c:pt idx="4">
                  <c:v>0</c:v>
                </c:pt>
                <c:pt idx="5">
                  <c:v>0</c:v>
                </c:pt>
                <c:pt idx="6">
                  <c:v>1</c:v>
                </c:pt>
                <c:pt idx="7">
                  <c:v>0</c:v>
                </c:pt>
              </c:numCache>
            </c:numRef>
          </c:val>
        </c:ser>
        <c:gapWidth val="0"/>
        <c:overlap val="-27"/>
        <c:axId val="86820560"/>
        <c:axId val="7102919"/>
      </c:barChart>
      <c:catAx>
        <c:axId val="86820560"/>
        <c:scaling>
          <c:orientation val="minMax"/>
        </c:scaling>
        <c:delete val="0"/>
        <c:axPos val="b"/>
        <c:numFmt formatCode="General" sourceLinked="1"/>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7102919"/>
        <c:crosses val="autoZero"/>
        <c:auto val="1"/>
        <c:lblAlgn val="ctr"/>
        <c:lblOffset val="100"/>
        <c:noMultiLvlLbl val="0"/>
      </c:catAx>
      <c:valAx>
        <c:axId val="7102919"/>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86820560"/>
        <c:crosses val="autoZero"/>
        <c:crossBetween val="between"/>
      </c:valAx>
      <c:spPr>
        <a:noFill/>
        <a:ln w="0">
          <a:noFill/>
        </a:ln>
      </c:spPr>
    </c:plotArea>
    <c:plotVisOnly val="1"/>
    <c:dispBlanksAs val="gap"/>
  </c:chart>
  <c:spPr>
    <a:solidFill>
      <a:srgbClr val="FFFFFF"/>
    </a:solidFill>
    <a:ln w="9360">
      <a:solidFill>
        <a:schemeClr val="dk1">
          <a:lumMod val="15000"/>
          <a:lumOff val="85000"/>
        </a:schemeClr>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en-US" sz="1400" b="0" u="none" strike="noStrike">
                <a:solidFill>
                  <a:schemeClr val="tx1">
                    <a:lumMod val="65000"/>
                    <a:lumOff val="35000"/>
                  </a:schemeClr>
                </a:solidFill>
                <a:uFillTx/>
                <a:latin typeface="Calibri"/>
              </a:rPr>
              <a:t>Residui</a:t>
            </a:r>
          </a:p>
        </c:rich>
      </c:tx>
      <c:overlay val="0"/>
      <c:spPr>
        <a:noFill/>
        <a:ln w="0">
          <a:noFill/>
        </a:ln>
      </c:spPr>
    </c:title>
    <c:autoTitleDeleted val="0"/>
    <c:plotArea>
      <c:layout>
        <c:manualLayout>
          <c:layoutTarget val="inner"/>
          <c:xMode val="edge"/>
          <c:yMode val="edge"/>
          <c:x val="0.103347785912289"/>
          <c:y val="0.194809986471529"/>
          <c:w val="0.896581135830549"/>
          <c:h val="0.72082154716517"/>
        </c:manualLayout>
      </c:layout>
      <c:barChart>
        <c:barDir val="col"/>
        <c:grouping val="clustered"/>
        <c:varyColors val="0"/>
        <c:ser>
          <c:idx val="0"/>
          <c:order val="0"/>
          <c:spPr>
            <a:solidFill>
              <a:srgbClr val="4472C4"/>
            </a:solidFill>
            <a:ln w="12600">
              <a:noFill/>
            </a:ln>
          </c:spPr>
          <c:invertIfNegative val="0"/>
          <c:dLbls>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'DATABASE 1'!$N$136:$N$143</c:f>
              <c:numCache>
                <c:formatCode>General</c:formatCode>
                <c:ptCount val="8"/>
                <c:pt idx="0">
                  <c:v>1</c:v>
                </c:pt>
                <c:pt idx="1">
                  <c:v>3</c:v>
                </c:pt>
                <c:pt idx="2">
                  <c:v>2</c:v>
                </c:pt>
                <c:pt idx="3">
                  <c:v>2</c:v>
                </c:pt>
                <c:pt idx="4">
                  <c:v>2</c:v>
                </c:pt>
                <c:pt idx="5">
                  <c:v>4</c:v>
                </c:pt>
                <c:pt idx="6">
                  <c:v>0</c:v>
                </c:pt>
                <c:pt idx="7">
                  <c:v>0</c:v>
                </c:pt>
              </c:numCache>
            </c:numRef>
          </c:val>
        </c:ser>
        <c:gapWidth val="219"/>
        <c:overlap val="-27"/>
        <c:axId val="330088"/>
        <c:axId val="74426149"/>
      </c:barChart>
      <c:catAx>
        <c:axId val="330088"/>
        <c:scaling>
          <c:orientation val="minMax"/>
        </c:scaling>
        <c:delete val="0"/>
        <c:axPos val="b"/>
        <c:numFmt formatCode="General" sourceLinked="1"/>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74426149"/>
        <c:crosses val="autoZero"/>
        <c:auto val="1"/>
        <c:lblAlgn val="ctr"/>
        <c:lblOffset val="100"/>
        <c:noMultiLvlLbl val="0"/>
      </c:catAx>
      <c:valAx>
        <c:axId val="74426149"/>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330088"/>
        <c:crosses val="autoZero"/>
        <c:crossBetween val="between"/>
      </c:valAx>
      <c:spPr>
        <a:noFill/>
        <a:ln w="0">
          <a:noFill/>
        </a:ln>
      </c:spPr>
    </c:plotArea>
    <c:plotVisOnly val="1"/>
    <c:dispBlanksAs val="gap"/>
  </c:chart>
  <c:spPr>
    <a:solidFill>
      <a:srgbClr val="FFFFFF"/>
    </a:solidFill>
    <a:ln w="9360">
      <a:solidFill>
        <a:schemeClr val="dk1">
          <a:lumMod val="15000"/>
          <a:lumOff val="85000"/>
        </a:schemeClr>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en-US" sz="1400" b="0" u="none" strike="noStrike">
                <a:solidFill>
                  <a:schemeClr val="tx1">
                    <a:lumMod val="65000"/>
                    <a:lumOff val="35000"/>
                  </a:schemeClr>
                </a:solidFill>
                <a:uFillTx/>
                <a:latin typeface="Calibri"/>
              </a:rPr>
              <a:t>Residui</a:t>
            </a:r>
          </a:p>
        </c:rich>
      </c:tx>
      <c:overlay val="0"/>
      <c:spPr>
        <a:noFill/>
        <a:ln w="0">
          <a:noFill/>
        </a:ln>
      </c:spPr>
    </c:title>
    <c:autoTitleDeleted val="0"/>
    <c:plotArea>
      <c:barChart>
        <c:barDir val="col"/>
        <c:grouping val="clustered"/>
        <c:varyColors val="0"/>
        <c:ser>
          <c:idx val="0"/>
          <c:order val="0"/>
          <c:spPr>
            <a:solidFill>
              <a:srgbClr val="4472C4"/>
            </a:solidFill>
            <a:ln w="12600">
              <a:noFill/>
            </a:ln>
          </c:spPr>
          <c:invertIfNegative val="0"/>
          <c:dLbls>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'DATABASE 1'!$N$191:$N$198</c:f>
              <c:numCache>
                <c:formatCode>General</c:formatCode>
                <c:ptCount val="8"/>
                <c:pt idx="0">
                  <c:v>2</c:v>
                </c:pt>
                <c:pt idx="1">
                  <c:v>1</c:v>
                </c:pt>
                <c:pt idx="2">
                  <c:v>5</c:v>
                </c:pt>
                <c:pt idx="3">
                  <c:v>3</c:v>
                </c:pt>
                <c:pt idx="4">
                  <c:v>1</c:v>
                </c:pt>
                <c:pt idx="5">
                  <c:v>2</c:v>
                </c:pt>
                <c:pt idx="6">
                  <c:v>1</c:v>
                </c:pt>
                <c:pt idx="7">
                  <c:v>0</c:v>
                </c:pt>
              </c:numCache>
            </c:numRef>
          </c:val>
        </c:ser>
        <c:gapWidth val="219"/>
        <c:overlap val="-27"/>
        <c:axId val="9249849"/>
        <c:axId val="39854795"/>
      </c:barChart>
      <c:catAx>
        <c:axId val="9249849"/>
        <c:scaling>
          <c:orientation val="minMax"/>
        </c:scaling>
        <c:delete val="0"/>
        <c:axPos val="b"/>
        <c:numFmt formatCode="General" sourceLinked="1"/>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39854795"/>
        <c:crosses val="autoZero"/>
        <c:auto val="1"/>
        <c:lblAlgn val="ctr"/>
        <c:lblOffset val="100"/>
        <c:noMultiLvlLbl val="0"/>
      </c:catAx>
      <c:valAx>
        <c:axId val="39854795"/>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9249849"/>
        <c:crosses val="autoZero"/>
        <c:crossBetween val="between"/>
      </c:valAx>
      <c:spPr>
        <a:noFill/>
        <a:ln w="0">
          <a:noFill/>
        </a:ln>
      </c:spPr>
    </c:plotArea>
    <c:plotVisOnly val="1"/>
    <c:dispBlanksAs val="gap"/>
  </c:chart>
  <c:spPr>
    <a:solidFill>
      <a:srgbClr val="FFFFFF"/>
    </a:solidFill>
    <a:ln w="9360">
      <a:solidFill>
        <a:schemeClr val="dk1">
          <a:lumMod val="15000"/>
          <a:lumOff val="85000"/>
        </a:schemeClr>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en-US" sz="1400" b="0" u="none" strike="noStrike">
                <a:solidFill>
                  <a:schemeClr val="tx1">
                    <a:lumMod val="65000"/>
                    <a:lumOff val="35000"/>
                  </a:schemeClr>
                </a:solidFill>
                <a:uFillTx/>
                <a:latin typeface="Calibri"/>
              </a:rPr>
              <a:t>Residui</a:t>
            </a:r>
          </a:p>
        </c:rich>
      </c:tx>
      <c:overlay val="0"/>
      <c:spPr>
        <a:noFill/>
        <a:ln w="0">
          <a:noFill/>
        </a:ln>
      </c:spPr>
    </c:title>
    <c:autoTitleDeleted val="0"/>
    <c:plotArea>
      <c:barChart>
        <c:barDir val="col"/>
        <c:grouping val="clustered"/>
        <c:varyColors val="0"/>
        <c:ser>
          <c:idx val="0"/>
          <c:order val="0"/>
          <c:spPr>
            <a:solidFill>
              <a:srgbClr val="4472C4"/>
            </a:solidFill>
            <a:ln w="12600">
              <a:noFill/>
            </a:ln>
          </c:spPr>
          <c:invertIfNegative val="0"/>
          <c:dLbls>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'DATABASE 1'!$N$219:$N$226</c:f>
              <c:numCache>
                <c:formatCode>General</c:formatCode>
                <c:ptCount val="8"/>
                <c:pt idx="0">
                  <c:v>15</c:v>
                </c:pt>
                <c:pt idx="1">
                  <c:v>0</c:v>
                </c:pt>
                <c:pt idx="2">
                  <c:v>0</c:v>
                </c:pt>
                <c:pt idx="3">
                  <c:v>0</c:v>
                </c:pt>
                <c:pt idx="4">
                  <c:v>0</c:v>
                </c:pt>
                <c:pt idx="5">
                  <c:v>0</c:v>
                </c:pt>
                <c:pt idx="6">
                  <c:v>1</c:v>
                </c:pt>
                <c:pt idx="7">
                  <c:v>0</c:v>
                </c:pt>
              </c:numCache>
            </c:numRef>
          </c:val>
        </c:ser>
        <c:gapWidth val="219"/>
        <c:overlap val="-27"/>
        <c:axId val="88838333"/>
        <c:axId val="93511280"/>
      </c:barChart>
      <c:catAx>
        <c:axId val="88838333"/>
        <c:scaling>
          <c:orientation val="minMax"/>
        </c:scaling>
        <c:delete val="0"/>
        <c:axPos val="b"/>
        <c:numFmt formatCode="General" sourceLinked="1"/>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93511280"/>
        <c:crosses val="autoZero"/>
        <c:auto val="1"/>
        <c:lblAlgn val="ctr"/>
        <c:lblOffset val="100"/>
        <c:noMultiLvlLbl val="0"/>
      </c:catAx>
      <c:valAx>
        <c:axId val="93511280"/>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88838333"/>
        <c:crosses val="autoZero"/>
        <c:crossBetween val="between"/>
      </c:valAx>
      <c:spPr>
        <a:noFill/>
        <a:ln w="0">
          <a:noFill/>
        </a:ln>
      </c:spPr>
    </c:plotArea>
    <c:plotVisOnly val="1"/>
    <c:dispBlanksAs val="gap"/>
  </c:chart>
  <c:spPr>
    <a:solidFill>
      <a:srgbClr val="FFFFFF"/>
    </a:solidFill>
    <a:ln w="9360">
      <a:solidFill>
        <a:schemeClr val="dk1">
          <a:lumMod val="15000"/>
          <a:lumOff val="85000"/>
        </a:schemeClr>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en-US" sz="1400" b="0" u="none" strike="noStrike">
                <a:solidFill>
                  <a:schemeClr val="tx1">
                    <a:lumMod val="65000"/>
                    <a:lumOff val="35000"/>
                  </a:schemeClr>
                </a:solidFill>
                <a:uFillTx/>
                <a:latin typeface="Calibri"/>
              </a:rPr>
              <a:t>Residui</a:t>
            </a:r>
          </a:p>
        </c:rich>
      </c:tx>
      <c:overlay val="0"/>
      <c:spPr>
        <a:noFill/>
        <a:ln w="0">
          <a:noFill/>
        </a:ln>
      </c:spPr>
    </c:title>
    <c:autoTitleDeleted val="0"/>
    <c:plotArea>
      <c:layout>
        <c:manualLayout>
          <c:layoutTarget val="inner"/>
          <c:xMode val="edge"/>
          <c:yMode val="edge"/>
          <c:x val="0.0650227401932916"/>
          <c:y val="0.148552502453386"/>
          <c:w val="0.915434906196703"/>
          <c:h val="0.720804710500491"/>
        </c:manualLayout>
      </c:layout>
      <c:barChart>
        <c:barDir val="col"/>
        <c:grouping val="clustered"/>
        <c:varyColors val="0"/>
        <c:ser>
          <c:idx val="0"/>
          <c:order val="0"/>
          <c:spPr>
            <a:solidFill>
              <a:srgbClr val="4472C4"/>
            </a:solidFill>
            <a:ln w="12600">
              <a:noFill/>
            </a:ln>
          </c:spPr>
          <c:invertIfNegative val="0"/>
          <c:dLbls>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'DATABASE 1'!$N$247:$N$254</c:f>
              <c:numCache>
                <c:formatCode>General</c:formatCode>
                <c:ptCount val="8"/>
                <c:pt idx="0">
                  <c:v>1</c:v>
                </c:pt>
                <c:pt idx="1">
                  <c:v>2</c:v>
                </c:pt>
                <c:pt idx="2">
                  <c:v>3</c:v>
                </c:pt>
                <c:pt idx="3">
                  <c:v>2</c:v>
                </c:pt>
                <c:pt idx="4">
                  <c:v>5</c:v>
                </c:pt>
                <c:pt idx="5">
                  <c:v>2</c:v>
                </c:pt>
                <c:pt idx="6">
                  <c:v>1</c:v>
                </c:pt>
                <c:pt idx="7">
                  <c:v>0</c:v>
                </c:pt>
              </c:numCache>
            </c:numRef>
          </c:val>
        </c:ser>
        <c:gapWidth val="219"/>
        <c:overlap val="-27"/>
        <c:axId val="15860887"/>
        <c:axId val="31411564"/>
      </c:barChart>
      <c:catAx>
        <c:axId val="15860887"/>
        <c:scaling>
          <c:orientation val="minMax"/>
        </c:scaling>
        <c:delete val="0"/>
        <c:axPos val="b"/>
        <c:numFmt formatCode="General" sourceLinked="1"/>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31411564"/>
        <c:crosses val="autoZero"/>
        <c:auto val="1"/>
        <c:lblAlgn val="ctr"/>
        <c:lblOffset val="100"/>
        <c:noMultiLvlLbl val="0"/>
      </c:catAx>
      <c:valAx>
        <c:axId val="31411564"/>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15860887"/>
        <c:crosses val="autoZero"/>
        <c:crossBetween val="between"/>
      </c:valAx>
      <c:spPr>
        <a:noFill/>
        <a:ln w="0">
          <a:noFill/>
        </a:ln>
      </c:spPr>
    </c:plotArea>
    <c:plotVisOnly val="1"/>
    <c:dispBlanksAs val="gap"/>
  </c:chart>
  <c:spPr>
    <a:solidFill>
      <a:srgbClr val="FFFFFF"/>
    </a:solidFill>
    <a:ln w="9360">
      <a:solidFill>
        <a:schemeClr val="dk1">
          <a:lumMod val="15000"/>
          <a:lumOff val="85000"/>
        </a:schemeClr>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it-IT" sz="1400" b="0" u="none" strike="noStrike">
                <a:solidFill>
                  <a:schemeClr val="tx1">
                    <a:lumMod val="65000"/>
                    <a:lumOff val="35000"/>
                  </a:schemeClr>
                </a:solidFill>
                <a:uFillTx/>
                <a:latin typeface="Calibri"/>
              </a:rPr>
              <a:t>Media</a:t>
            </a:r>
            <a:r>
              <a:rPr lang="it-IT" sz="1400" b="0" u="none" strike="noStrike">
                <a:solidFill>
                  <a:schemeClr val="tx1">
                    <a:lumMod val="65000"/>
                    <a:lumOff val="35000"/>
                  </a:schemeClr>
                </a:solidFill>
                <a:uFillTx/>
                <a:latin typeface="Calibri"/>
              </a:rPr>
              <a:t> Mobile</a:t>
            </a:r>
          </a:p>
        </c:rich>
      </c:tx>
      <c:layout>
        <c:manualLayout>
          <c:xMode val="edge"/>
          <c:yMode val="edge"/>
          <c:x val="0.368135960457715"/>
          <c:y val="0.0330736815221555"/>
        </c:manualLayout>
      </c:layout>
      <c:overlay val="0"/>
      <c:spPr>
        <a:noFill/>
        <a:ln w="0">
          <a:noFill/>
        </a:ln>
      </c:spPr>
    </c:title>
    <c:autoTitleDeleted val="0"/>
    <c:plotArea>
      <c:lineChart>
        <c:grouping val="standard"/>
        <c:varyColors val="0"/>
        <c:ser>
          <c:idx val="0"/>
          <c:order val="0"/>
          <c:spPr>
            <a:solidFill>
              <a:srgbClr val="4472C4"/>
            </a:solidFill>
            <a:ln cap="rnd" w="28440">
              <a:solidFill>
                <a:srgbClr val="4472C4"/>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trendline>
            <c:spPr>
              <a:ln cap="rnd" w="19080">
                <a:solidFill>
                  <a:schemeClr val="accent1"/>
                </a:solidFill>
                <a:prstDash val="sysDot"/>
                <a:round/>
              </a:ln>
            </c:spPr>
            <c:trendlineType val="linear"/>
            <c:forward val="0"/>
            <c:backward val="0"/>
            <c:dispRSqr val="0"/>
            <c:dispEq val="0"/>
          </c:trendline>
          <c:trendline>
            <c:spPr>
              <a:ln cap="rnd" w="19080">
                <a:solidFill>
                  <a:schemeClr val="accent1"/>
                </a:solidFill>
                <a:prstDash val="sysDot"/>
                <a:round/>
              </a:ln>
            </c:spPr>
            <c:trendlineType val="linear"/>
            <c:forward val="0"/>
            <c:backward val="0"/>
            <c:dispRSqr val="0"/>
            <c:dispEq val="0"/>
          </c:trendline>
          <c:val>
            <c:numRef>
              <c:f>'DATABASE 1'!$C$94:$C$105</c:f>
              <c:numCache>
                <c:formatCode>General</c:formatCode>
                <c:ptCount val="12"/>
                <c:pt idx="0">
                  <c:v>6778234.6875</c:v>
                </c:pt>
                <c:pt idx="1">
                  <c:v>6818800.3875</c:v>
                </c:pt>
                <c:pt idx="2">
                  <c:v>6868544.925</c:v>
                </c:pt>
                <c:pt idx="3">
                  <c:v>6961865.1875</c:v>
                </c:pt>
                <c:pt idx="4">
                  <c:v>7111997.5375</c:v>
                </c:pt>
                <c:pt idx="5">
                  <c:v>7301831.6</c:v>
                </c:pt>
                <c:pt idx="6">
                  <c:v>7525880.6375</c:v>
                </c:pt>
                <c:pt idx="7">
                  <c:v>7747300.225</c:v>
                </c:pt>
                <c:pt idx="8">
                  <c:v>7942451.7125</c:v>
                </c:pt>
                <c:pt idx="9">
                  <c:v>8118605.6125</c:v>
                </c:pt>
                <c:pt idx="10">
                  <c:v>8277502.775</c:v>
                </c:pt>
                <c:pt idx="11">
                  <c:v>8455079.2625</c:v>
                </c:pt>
              </c:numCache>
            </c:numRef>
          </c:val>
          <c:smooth val="0"/>
        </c:ser>
        <c:hiLowLines>
          <c:spPr>
            <a:ln w="0">
              <a:noFill/>
            </a:ln>
          </c:spPr>
        </c:hiLowLines>
        <c:marker val="0"/>
        <c:axId val="85946849"/>
        <c:axId val="931515"/>
      </c:lineChart>
      <c:catAx>
        <c:axId val="85946849"/>
        <c:scaling>
          <c:orientation val="minMax"/>
        </c:scaling>
        <c:delete val="0"/>
        <c:axPos val="b"/>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931515"/>
        <c:crosses val="autoZero"/>
        <c:auto val="1"/>
        <c:lblAlgn val="ctr"/>
        <c:lblOffset val="100"/>
        <c:noMultiLvlLbl val="0"/>
      </c:catAx>
      <c:valAx>
        <c:axId val="931515"/>
        <c:scaling>
          <c:orientation val="minMax"/>
        </c:scaling>
        <c:delete val="0"/>
        <c:axPos val="l"/>
        <c:majorGridlines>
          <c:spPr>
            <a:ln w="9360">
              <a:solidFill>
                <a:schemeClr val="dk1">
                  <a:lumMod val="15000"/>
                  <a:lumOff val="85000"/>
                </a:schemeClr>
              </a:solidFill>
              <a:round/>
            </a:ln>
          </c:spPr>
        </c:majorGridlines>
        <c:numFmt formatCode="#,##0"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85946849"/>
        <c:crosses val="autoZero"/>
        <c:crossBetween val="between"/>
      </c:valAx>
      <c:spPr>
        <a:noFill/>
        <a:ln w="0">
          <a:noFill/>
        </a:ln>
      </c:spPr>
    </c:plotArea>
    <c:plotVisOnly val="1"/>
    <c:dispBlanksAs val="gap"/>
  </c:chart>
  <c:spPr>
    <a:solidFill>
      <a:srgbClr val="FFFFFF"/>
    </a:solidFill>
    <a:ln w="9360">
      <a:solidFill>
        <a:schemeClr val="dk1">
          <a:lumMod val="15000"/>
          <a:lumOff val="85000"/>
        </a:schemeClr>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it-IT" sz="1400" b="0" u="none" strike="noStrike">
                <a:solidFill>
                  <a:schemeClr val="tx1">
                    <a:lumMod val="65000"/>
                    <a:lumOff val="35000"/>
                  </a:schemeClr>
                </a:solidFill>
                <a:uFillTx/>
                <a:latin typeface="Calibri"/>
              </a:rPr>
              <a:t>Stima</a:t>
            </a:r>
            <a:r>
              <a:rPr lang="it-IT" sz="1400" b="0" u="none" strike="noStrike">
                <a:solidFill>
                  <a:schemeClr val="tx1">
                    <a:lumMod val="65000"/>
                    <a:lumOff val="35000"/>
                  </a:schemeClr>
                </a:solidFill>
                <a:uFillTx/>
                <a:latin typeface="Calibri"/>
              </a:rPr>
              <a:t> trend cilo- definitivo</a:t>
            </a:r>
          </a:p>
        </c:rich>
      </c:tx>
      <c:overlay val="0"/>
      <c:spPr>
        <a:noFill/>
        <a:ln w="0">
          <a:noFill/>
        </a:ln>
      </c:spPr>
    </c:title>
    <c:autoTitleDeleted val="0"/>
    <c:plotArea>
      <c:lineChart>
        <c:grouping val="standard"/>
        <c:varyColors val="0"/>
        <c:ser>
          <c:idx val="0"/>
          <c:order val="0"/>
          <c:spPr>
            <a:solidFill>
              <a:srgbClr val="4472C4"/>
            </a:solidFill>
            <a:ln cap="rnd" w="28440">
              <a:solidFill>
                <a:srgbClr val="4472C4"/>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val>
            <c:numRef>
              <c:f>'DATABASE 1'!$G$94:$G$109</c:f>
              <c:numCache>
                <c:formatCode>0.00</c:formatCode>
                <c:ptCount val="16"/>
                <c:pt idx="0">
                  <c:v>-907496.515000001</c:v>
                </c:pt>
                <c:pt idx="1">
                  <c:v>23862703.835</c:v>
                </c:pt>
                <c:pt idx="2">
                  <c:v>21979892.395</c:v>
                </c:pt>
                <c:pt idx="3">
                  <c:v>23870115.715</c:v>
                </c:pt>
                <c:pt idx="4">
                  <c:v>25838849.805</c:v>
                </c:pt>
                <c:pt idx="5">
                  <c:v>24061681.985</c:v>
                </c:pt>
                <c:pt idx="6">
                  <c:v>22353173.445</c:v>
                </c:pt>
                <c:pt idx="7">
                  <c:v>21672409.86</c:v>
                </c:pt>
                <c:pt idx="8">
                  <c:v>23799950.8</c:v>
                </c:pt>
                <c:pt idx="9">
                  <c:v>24957878.135</c:v>
                </c:pt>
                <c:pt idx="10">
                  <c:v>23238851.795</c:v>
                </c:pt>
                <c:pt idx="11">
                  <c:v>25251251.065</c:v>
                </c:pt>
                <c:pt idx="12">
                  <c:v>27302801.655</c:v>
                </c:pt>
                <c:pt idx="13">
                  <c:v>25593466.785</c:v>
                </c:pt>
                <c:pt idx="14">
                  <c:v>23949157.745</c:v>
                </c:pt>
                <c:pt idx="15">
                  <c:v>23155431.01</c:v>
                </c:pt>
              </c:numCache>
            </c:numRef>
          </c:val>
          <c:smooth val="0"/>
        </c:ser>
        <c:hiLowLines>
          <c:spPr>
            <a:ln w="0">
              <a:noFill/>
            </a:ln>
          </c:spPr>
        </c:hiLowLines>
        <c:marker val="0"/>
        <c:axId val="73408934"/>
        <c:axId val="35206446"/>
      </c:lineChart>
      <c:catAx>
        <c:axId val="73408934"/>
        <c:scaling>
          <c:orientation val="minMax"/>
        </c:scaling>
        <c:delete val="0"/>
        <c:axPos val="b"/>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35206446"/>
        <c:crosses val="autoZero"/>
        <c:auto val="1"/>
        <c:lblAlgn val="ctr"/>
        <c:lblOffset val="100"/>
        <c:noMultiLvlLbl val="0"/>
      </c:catAx>
      <c:valAx>
        <c:axId val="35206446"/>
        <c:scaling>
          <c:orientation val="minMax"/>
        </c:scaling>
        <c:delete val="0"/>
        <c:axPos val="l"/>
        <c:majorGridlines>
          <c:spPr>
            <a:ln w="9360">
              <a:solidFill>
                <a:schemeClr val="dk1">
                  <a:lumMod val="15000"/>
                  <a:lumOff val="85000"/>
                </a:schemeClr>
              </a:solidFill>
              <a:round/>
            </a:ln>
          </c:spPr>
        </c:majorGridlines>
        <c:numFmt formatCode="0.00"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73408934"/>
        <c:crosses val="autoZero"/>
        <c:crossBetween val="between"/>
      </c:valAx>
      <c:spPr>
        <a:noFill/>
        <a:ln w="0">
          <a:noFill/>
        </a:ln>
      </c:spPr>
    </c:plotArea>
    <c:plotVisOnly val="1"/>
    <c:dispBlanksAs val="gap"/>
  </c:chart>
  <c:spPr>
    <a:solidFill>
      <a:srgbClr val="FFFFFF"/>
    </a:solidFill>
    <a:ln w="9360">
      <a:solidFill>
        <a:schemeClr val="dk1">
          <a:lumMod val="15000"/>
          <a:lumOff val="85000"/>
        </a:schemeClr>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it-IT" sz="1400" b="0" u="none" strike="noStrike">
                <a:solidFill>
                  <a:srgbClr val="595959"/>
                </a:solidFill>
                <a:uFillTx/>
                <a:latin typeface="Calibri"/>
              </a:rPr>
              <a:t>Stima trend cilo- definitivo</a:t>
            </a:r>
          </a:p>
        </c:rich>
      </c:tx>
      <c:overlay val="0"/>
      <c:spPr>
        <a:noFill/>
        <a:ln w="0">
          <a:noFill/>
        </a:ln>
      </c:spPr>
    </c:title>
    <c:autoTitleDeleted val="0"/>
    <c:plotArea>
      <c:lineChart>
        <c:grouping val="standard"/>
        <c:varyColors val="0"/>
        <c:ser>
          <c:idx val="0"/>
          <c:order val="0"/>
          <c:tx>
            <c:strRef>
              <c:f>'DATABASE 1'!$G$121</c:f>
              <c:strCache>
                <c:ptCount val="1"/>
                <c:pt idx="0">
                  <c:v>Tt</c:v>
                </c:pt>
              </c:strCache>
            </c:strRef>
          </c:tx>
          <c:spPr>
            <a:solidFill>
              <a:srgbClr val="4472C4"/>
            </a:solidFill>
            <a:ln cap="rnd" w="28440">
              <a:solidFill>
                <a:srgbClr val="4472C4"/>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val>
            <c:numRef>
              <c:f>'DATABASE 1'!$G$122:$G$137</c:f>
              <c:numCache>
                <c:formatCode>0.00</c:formatCode>
                <c:ptCount val="16"/>
                <c:pt idx="0">
                  <c:v>5993480.934375</c:v>
                </c:pt>
                <c:pt idx="1">
                  <c:v>5776522.99479167</c:v>
                </c:pt>
                <c:pt idx="2">
                  <c:v>5323145.65208333</c:v>
                </c:pt>
                <c:pt idx="3">
                  <c:v>5478010.91041667</c:v>
                </c:pt>
                <c:pt idx="4">
                  <c:v>5635092.47083333</c:v>
                </c:pt>
                <c:pt idx="5">
                  <c:v>5816560.49479167</c:v>
                </c:pt>
                <c:pt idx="6">
                  <c:v>5378113.18541667</c:v>
                </c:pt>
                <c:pt idx="7">
                  <c:v>5546006.54375</c:v>
                </c:pt>
                <c:pt idx="8">
                  <c:v>5721139.90416667</c:v>
                </c:pt>
                <c:pt idx="9">
                  <c:v>5920629.39479167</c:v>
                </c:pt>
                <c:pt idx="10">
                  <c:v>5494613.61875</c:v>
                </c:pt>
                <c:pt idx="11">
                  <c:v>5661509.54375</c:v>
                </c:pt>
                <c:pt idx="12">
                  <c:v>5823393.07083333</c:v>
                </c:pt>
                <c:pt idx="13">
                  <c:v>6017392.16145833</c:v>
                </c:pt>
                <c:pt idx="14">
                  <c:v>5660620.58541667</c:v>
                </c:pt>
                <c:pt idx="15">
                  <c:v>5487756.0796875</c:v>
                </c:pt>
              </c:numCache>
            </c:numRef>
          </c:val>
          <c:smooth val="0"/>
        </c:ser>
        <c:hiLowLines>
          <c:spPr>
            <a:ln w="0">
              <a:noFill/>
            </a:ln>
          </c:spPr>
        </c:hiLowLines>
        <c:marker val="0"/>
        <c:axId val="98590053"/>
        <c:axId val="25525667"/>
      </c:lineChart>
      <c:catAx>
        <c:axId val="98590053"/>
        <c:scaling>
          <c:orientation val="minMax"/>
        </c:scaling>
        <c:delete val="0"/>
        <c:axPos val="b"/>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25525667"/>
        <c:crosses val="autoZero"/>
        <c:auto val="1"/>
        <c:lblAlgn val="ctr"/>
        <c:lblOffset val="100"/>
        <c:noMultiLvlLbl val="0"/>
      </c:catAx>
      <c:valAx>
        <c:axId val="25525667"/>
        <c:scaling>
          <c:orientation val="minMax"/>
        </c:scaling>
        <c:delete val="0"/>
        <c:axPos val="l"/>
        <c:majorGridlines>
          <c:spPr>
            <a:ln w="9360">
              <a:solidFill>
                <a:schemeClr val="dk1">
                  <a:lumMod val="15000"/>
                  <a:lumOff val="85000"/>
                </a:schemeClr>
              </a:solidFill>
              <a:round/>
            </a:ln>
          </c:spPr>
        </c:majorGridlines>
        <c:numFmt formatCode="0.00"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98590053"/>
        <c:crosses val="autoZero"/>
        <c:crossBetween val="between"/>
      </c:valAx>
      <c:spPr>
        <a:noFill/>
        <a:ln w="0">
          <a:noFill/>
        </a:ln>
      </c:spPr>
    </c:plotArea>
    <c:plotVisOnly val="1"/>
    <c:dispBlanksAs val="gap"/>
  </c:chart>
  <c:spPr>
    <a:solidFill>
      <a:srgbClr val="FFFFFF"/>
    </a:solidFill>
    <a:ln w="9360">
      <a:solidFill>
        <a:schemeClr val="dk1">
          <a:lumMod val="15000"/>
          <a:lumOff val="85000"/>
        </a:schemeClr>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it-IT" sz="1400" b="0" u="none" strike="noStrike">
                <a:solidFill>
                  <a:schemeClr val="tx1">
                    <a:lumMod val="65000"/>
                    <a:lumOff val="35000"/>
                  </a:schemeClr>
                </a:solidFill>
                <a:uFillTx/>
                <a:latin typeface="Calibri"/>
              </a:rPr>
              <a:t>Media mobile</a:t>
            </a:r>
          </a:p>
        </c:rich>
      </c:tx>
      <c:overlay val="0"/>
      <c:spPr>
        <a:noFill/>
        <a:ln w="0">
          <a:noFill/>
        </a:ln>
      </c:spPr>
    </c:title>
    <c:autoTitleDeleted val="0"/>
    <c:plotArea>
      <c:lineChart>
        <c:grouping val="standard"/>
        <c:varyColors val="0"/>
        <c:ser>
          <c:idx val="0"/>
          <c:order val="0"/>
          <c:spPr>
            <a:solidFill>
              <a:srgbClr val="4472C4"/>
            </a:solidFill>
            <a:ln cap="rnd" w="28440">
              <a:solidFill>
                <a:srgbClr val="4472C4"/>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trendline>
            <c:spPr>
              <a:ln cap="rnd" w="19080">
                <a:solidFill>
                  <a:schemeClr val="accent1"/>
                </a:solidFill>
                <a:prstDash val="sysDot"/>
                <a:round/>
              </a:ln>
            </c:spPr>
            <c:trendlineType val="linear"/>
            <c:forward val="0"/>
            <c:backward val="0"/>
            <c:dispRSqr val="0"/>
            <c:dispEq val="0"/>
          </c:trendline>
          <c:trendline>
            <c:spPr>
              <a:ln cap="rnd" w="19080">
                <a:solidFill>
                  <a:schemeClr val="accent1"/>
                </a:solidFill>
                <a:prstDash val="sysDot"/>
                <a:round/>
              </a:ln>
            </c:spPr>
            <c:trendlineType val="linear"/>
            <c:forward val="0"/>
            <c:backward val="0"/>
            <c:dispRSqr val="0"/>
            <c:dispEq val="0"/>
          </c:trendline>
          <c:val>
            <c:numRef>
              <c:f>'DATABASE 1'!$C$150:$C$161</c:f>
              <c:numCache>
                <c:formatCode>General</c:formatCode>
                <c:ptCount val="12"/>
                <c:pt idx="0">
                  <c:v>1422874.75</c:v>
                </c:pt>
                <c:pt idx="1">
                  <c:v>1405067.75</c:v>
                </c:pt>
                <c:pt idx="2">
                  <c:v>1401685.25</c:v>
                </c:pt>
                <c:pt idx="3">
                  <c:v>1422038.625</c:v>
                </c:pt>
                <c:pt idx="4">
                  <c:v>1484329.75</c:v>
                </c:pt>
                <c:pt idx="5">
                  <c:v>1577268.625</c:v>
                </c:pt>
                <c:pt idx="6">
                  <c:v>1694074.75</c:v>
                </c:pt>
                <c:pt idx="7">
                  <c:v>1810063.375</c:v>
                </c:pt>
                <c:pt idx="8">
                  <c:v>1924597.375</c:v>
                </c:pt>
                <c:pt idx="9">
                  <c:v>2021779.5</c:v>
                </c:pt>
                <c:pt idx="10">
                  <c:v>2109824.625</c:v>
                </c:pt>
                <c:pt idx="11">
                  <c:v>2182335.625</c:v>
                </c:pt>
              </c:numCache>
            </c:numRef>
          </c:val>
          <c:smooth val="0"/>
        </c:ser>
        <c:hiLowLines>
          <c:spPr>
            <a:ln w="0">
              <a:noFill/>
            </a:ln>
          </c:spPr>
        </c:hiLowLines>
        <c:marker val="0"/>
        <c:axId val="3181555"/>
        <c:axId val="13072805"/>
      </c:lineChart>
      <c:catAx>
        <c:axId val="3181555"/>
        <c:scaling>
          <c:orientation val="minMax"/>
        </c:scaling>
        <c:delete val="0"/>
        <c:axPos val="b"/>
        <c:numFmt formatCode="General" sourceLinked="1"/>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13072805"/>
        <c:crosses val="autoZero"/>
        <c:auto val="1"/>
        <c:lblAlgn val="ctr"/>
        <c:lblOffset val="100"/>
        <c:noMultiLvlLbl val="0"/>
      </c:catAx>
      <c:valAx>
        <c:axId val="13072805"/>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3181555"/>
        <c:crosses val="autoZero"/>
        <c:crossBetween val="between"/>
      </c:valAx>
      <c:spPr>
        <a:noFill/>
        <a:ln w="0">
          <a:noFill/>
        </a:ln>
      </c:spPr>
    </c:plotArea>
    <c:plotVisOnly val="1"/>
    <c:dispBlanksAs val="gap"/>
  </c:chart>
  <c:spPr>
    <a:solidFill>
      <a:srgbClr val="FFFFFF"/>
    </a:solidFill>
    <a:ln w="9360">
      <a:solidFill>
        <a:schemeClr val="dk1">
          <a:lumMod val="15000"/>
          <a:lumOff val="85000"/>
        </a:schemeClr>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it-IT" sz="1400" b="0" u="none" strike="noStrike">
                <a:solidFill>
                  <a:schemeClr val="tx1">
                    <a:lumMod val="65000"/>
                    <a:lumOff val="35000"/>
                  </a:schemeClr>
                </a:solidFill>
                <a:uFillTx/>
                <a:latin typeface="Calibri"/>
              </a:rPr>
              <a:t>Media</a:t>
            </a:r>
            <a:r>
              <a:rPr lang="it-IT" sz="1400" b="0" u="none" strike="noStrike">
                <a:solidFill>
                  <a:schemeClr val="tx1">
                    <a:lumMod val="65000"/>
                    <a:lumOff val="35000"/>
                  </a:schemeClr>
                </a:solidFill>
                <a:uFillTx/>
                <a:latin typeface="Calibri"/>
              </a:rPr>
              <a:t> mobile</a:t>
            </a:r>
          </a:p>
        </c:rich>
      </c:tx>
      <c:overlay val="0"/>
      <c:spPr>
        <a:noFill/>
        <a:ln w="0">
          <a:noFill/>
        </a:ln>
      </c:spPr>
    </c:title>
    <c:autoTitleDeleted val="0"/>
    <c:plotArea>
      <c:lineChart>
        <c:grouping val="standard"/>
        <c:varyColors val="0"/>
        <c:ser>
          <c:idx val="0"/>
          <c:order val="0"/>
          <c:spPr>
            <a:solidFill>
              <a:srgbClr val="4472C4"/>
            </a:solidFill>
            <a:ln cap="rnd" w="28440">
              <a:solidFill>
                <a:srgbClr val="4472C4"/>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trendline>
            <c:spPr>
              <a:ln cap="rnd" w="19080">
                <a:solidFill>
                  <a:schemeClr val="accent1"/>
                </a:solidFill>
                <a:prstDash val="sysDot"/>
                <a:round/>
              </a:ln>
            </c:spPr>
            <c:trendlineType val="linear"/>
            <c:forward val="0"/>
            <c:backward val="0"/>
            <c:dispRSqr val="0"/>
            <c:dispEq val="0"/>
          </c:trendline>
          <c:trendline>
            <c:spPr>
              <a:ln cap="rnd" w="19080">
                <a:solidFill>
                  <a:schemeClr val="accent1"/>
                </a:solidFill>
                <a:prstDash val="sysDot"/>
                <a:round/>
              </a:ln>
            </c:spPr>
            <c:trendlineType val="linear"/>
            <c:forward val="0"/>
            <c:backward val="0"/>
            <c:dispRSqr val="0"/>
            <c:dispEq val="0"/>
          </c:trendline>
          <c:val>
            <c:numRef>
              <c:f>'DATABASE 1'!$C$178:$C$189</c:f>
              <c:numCache>
                <c:formatCode>General</c:formatCode>
                <c:ptCount val="12"/>
                <c:pt idx="0">
                  <c:v>4613059.5</c:v>
                </c:pt>
                <c:pt idx="1">
                  <c:v>4665598.0375</c:v>
                </c:pt>
                <c:pt idx="2">
                  <c:v>4719744.3625</c:v>
                </c:pt>
                <c:pt idx="3">
                  <c:v>4798864.15</c:v>
                </c:pt>
                <c:pt idx="4">
                  <c:v>4908728.825</c:v>
                </c:pt>
                <c:pt idx="5">
                  <c:v>5071719.0875</c:v>
                </c:pt>
                <c:pt idx="6">
                  <c:v>5298589.1875</c:v>
                </c:pt>
                <c:pt idx="7">
                  <c:v>5534163.375</c:v>
                </c:pt>
                <c:pt idx="8">
                  <c:v>5735873.25</c:v>
                </c:pt>
                <c:pt idx="9">
                  <c:v>5898481.625</c:v>
                </c:pt>
                <c:pt idx="10">
                  <c:v>6045222.6125</c:v>
                </c:pt>
                <c:pt idx="11">
                  <c:v>6142502.525</c:v>
                </c:pt>
              </c:numCache>
            </c:numRef>
          </c:val>
          <c:smooth val="0"/>
        </c:ser>
        <c:hiLowLines>
          <c:spPr>
            <a:ln w="0">
              <a:noFill/>
            </a:ln>
          </c:spPr>
        </c:hiLowLines>
        <c:marker val="0"/>
        <c:axId val="25678747"/>
        <c:axId val="70048162"/>
      </c:lineChart>
      <c:catAx>
        <c:axId val="25678747"/>
        <c:scaling>
          <c:orientation val="minMax"/>
        </c:scaling>
        <c:delete val="0"/>
        <c:axPos val="b"/>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70048162"/>
        <c:crosses val="autoZero"/>
        <c:auto val="1"/>
        <c:lblAlgn val="ctr"/>
        <c:lblOffset val="100"/>
        <c:noMultiLvlLbl val="0"/>
      </c:catAx>
      <c:valAx>
        <c:axId val="70048162"/>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25678747"/>
        <c:crosses val="autoZero"/>
        <c:crossBetween val="between"/>
      </c:valAx>
      <c:spPr>
        <a:noFill/>
        <a:ln w="0">
          <a:noFill/>
        </a:ln>
      </c:spPr>
    </c:plotArea>
    <c:plotVisOnly val="1"/>
    <c:dispBlanksAs val="gap"/>
  </c:chart>
  <c:spPr>
    <a:solidFill>
      <a:srgbClr val="FFFFFF"/>
    </a:solidFill>
    <a:ln w="9360">
      <a:solidFill>
        <a:schemeClr val="dk1">
          <a:lumMod val="15000"/>
          <a:lumOff val="85000"/>
        </a:schemeClr>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style val="3"/>
  <c:chart>
    <c:title>
      <c:tx>
        <c:rich>
          <a:bodyPr rot="0"/>
          <a:lstStyle/>
          <a:p>
            <a:pPr>
              <a:defRPr sz="1300" b="0" u="none" strike="noStrike">
                <a:uFillTx/>
                <a:latin typeface="Noto Sans"/>
              </a:defRPr>
            </a:pPr>
            <a:r>
              <a:rPr lang="it-IT" sz="1400" b="0" u="none" strike="noStrike">
                <a:solidFill>
                  <a:srgbClr val="595959"/>
                </a:solidFill>
                <a:uFillTx/>
                <a:latin typeface="Calibri"/>
              </a:rPr>
              <a:t>Stima trend cilo- definitivo</a:t>
            </a:r>
          </a:p>
        </c:rich>
      </c:tx>
      <c:overlay val="0"/>
      <c:spPr>
        <a:noFill/>
        <a:ln w="0">
          <a:noFill/>
        </a:ln>
      </c:spPr>
    </c:title>
    <c:autoTitleDeleted val="0"/>
    <c:plotArea>
      <c:lineChart>
        <c:grouping val="standard"/>
        <c:varyColors val="0"/>
        <c:ser>
          <c:idx val="0"/>
          <c:order val="0"/>
          <c:spPr>
            <a:solidFill>
              <a:srgbClr val="4472C4"/>
            </a:solidFill>
            <a:ln w="19080">
              <a:solidFill>
                <a:srgbClr val="4472C4"/>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val>
            <c:numRef>
              <c:f>'DATABASE 1'!$G$178:$G$193</c:f>
              <c:numCache>
                <c:formatCode>0.00</c:formatCode>
                <c:ptCount val="16"/>
                <c:pt idx="0">
                  <c:v>3672424.678125</c:v>
                </c:pt>
                <c:pt idx="1">
                  <c:v>3718688.190625</c:v>
                </c:pt>
                <c:pt idx="2">
                  <c:v>3802756.296875</c:v>
                </c:pt>
                <c:pt idx="3">
                  <c:v>3799089.82395833</c:v>
                </c:pt>
                <c:pt idx="4">
                  <c:v>3783554.16458333</c:v>
                </c:pt>
                <c:pt idx="5">
                  <c:v>3781418.490625</c:v>
                </c:pt>
                <c:pt idx="6">
                  <c:v>3883473.06354167</c:v>
                </c:pt>
                <c:pt idx="7">
                  <c:v>3915948.62395833</c:v>
                </c:pt>
                <c:pt idx="8">
                  <c:v>3954604.13125</c:v>
                </c:pt>
                <c:pt idx="9">
                  <c:v>3996520.22395833</c:v>
                </c:pt>
                <c:pt idx="10">
                  <c:v>4123895.596875</c:v>
                </c:pt>
                <c:pt idx="11">
                  <c:v>4146022.15729167</c:v>
                </c:pt>
                <c:pt idx="12">
                  <c:v>4156838.36458333</c:v>
                </c:pt>
                <c:pt idx="13">
                  <c:v>4155711.92395833</c:v>
                </c:pt>
                <c:pt idx="14">
                  <c:v>4248170.03020833</c:v>
                </c:pt>
                <c:pt idx="15">
                  <c:v>4289966.3765625</c:v>
                </c:pt>
              </c:numCache>
            </c:numRef>
          </c:val>
          <c:smooth val="0"/>
        </c:ser>
        <c:hiLowLines>
          <c:spPr>
            <a:ln w="0">
              <a:noFill/>
            </a:ln>
          </c:spPr>
        </c:hiLowLines>
        <c:marker val="0"/>
        <c:axId val="89340683"/>
        <c:axId val="12688160"/>
      </c:lineChart>
      <c:catAx>
        <c:axId val="89340683"/>
        <c:scaling>
          <c:orientation val="minMax"/>
        </c:scaling>
        <c:delete val="0"/>
        <c:axPos val="b"/>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12688160"/>
        <c:crosses val="autoZero"/>
        <c:auto val="1"/>
        <c:lblAlgn val="ctr"/>
        <c:lblOffset val="100"/>
        <c:noMultiLvlLbl val="0"/>
      </c:catAx>
      <c:valAx>
        <c:axId val="12688160"/>
        <c:scaling>
          <c:orientation val="minMax"/>
        </c:scaling>
        <c:delete val="0"/>
        <c:axPos val="l"/>
        <c:majorGridlines>
          <c:spPr>
            <a:ln w="9360">
              <a:solidFill>
                <a:schemeClr val="dk1">
                  <a:lumMod val="15000"/>
                  <a:lumOff val="85000"/>
                </a:schemeClr>
              </a:solidFill>
              <a:round/>
            </a:ln>
          </c:spPr>
        </c:majorGridlines>
        <c:numFmt formatCode="0.00"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89340683"/>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en-US" sz="1400" b="0" u="none" strike="noStrike">
                <a:solidFill>
                  <a:schemeClr val="tx1">
                    <a:lumMod val="65000"/>
                    <a:lumOff val="35000"/>
                  </a:schemeClr>
                </a:solidFill>
                <a:uFillTx/>
                <a:latin typeface="Calibri"/>
              </a:rPr>
              <a:t>Media mobile</a:t>
            </a:r>
          </a:p>
        </c:rich>
      </c:tx>
      <c:overlay val="0"/>
      <c:spPr>
        <a:noFill/>
        <a:ln w="0">
          <a:noFill/>
        </a:ln>
      </c:spPr>
    </c:title>
    <c:autoTitleDeleted val="0"/>
    <c:plotArea>
      <c:lineChart>
        <c:grouping val="standard"/>
        <c:varyColors val="0"/>
        <c:ser>
          <c:idx val="0"/>
          <c:order val="0"/>
          <c:spPr>
            <a:solidFill>
              <a:srgbClr val="4472C4"/>
            </a:solidFill>
            <a:ln cap="rnd" w="28440">
              <a:solidFill>
                <a:srgbClr val="4472C4"/>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trendline>
            <c:spPr>
              <a:ln cap="rnd" w="19080">
                <a:solidFill>
                  <a:schemeClr val="accent1"/>
                </a:solidFill>
                <a:prstDash val="sysDot"/>
                <a:round/>
              </a:ln>
            </c:spPr>
            <c:trendlineType val="linear"/>
            <c:forward val="0"/>
            <c:backward val="0"/>
            <c:dispRSqr val="0"/>
            <c:dispEq val="0"/>
          </c:trendline>
          <c:trendline>
            <c:spPr>
              <a:ln cap="rnd" w="19080">
                <a:solidFill>
                  <a:schemeClr val="accent1"/>
                </a:solidFill>
                <a:prstDash val="sysDot"/>
                <a:round/>
              </a:ln>
            </c:spPr>
            <c:trendlineType val="linear"/>
            <c:forward val="0"/>
            <c:backward val="0"/>
            <c:dispRSqr val="0"/>
            <c:dispEq val="0"/>
          </c:trendline>
          <c:val>
            <c:numRef>
              <c:f>'DATABASE 1'!$C$206:$C$217</c:f>
              <c:numCache>
                <c:formatCode>General</c:formatCode>
                <c:ptCount val="12"/>
                <c:pt idx="0">
                  <c:v>6138913.075</c:v>
                </c:pt>
                <c:pt idx="1">
                  <c:v>6171798.4375</c:v>
                </c:pt>
                <c:pt idx="2">
                  <c:v>6200191.7375</c:v>
                </c:pt>
                <c:pt idx="3">
                  <c:v>6238119.1375</c:v>
                </c:pt>
                <c:pt idx="4">
                  <c:v>6284669.0625</c:v>
                </c:pt>
                <c:pt idx="5">
                  <c:v>6375348.85</c:v>
                </c:pt>
                <c:pt idx="6">
                  <c:v>6481687.3</c:v>
                </c:pt>
                <c:pt idx="7">
                  <c:v>6611737.45</c:v>
                </c:pt>
                <c:pt idx="8">
                  <c:v>6677712.1375</c:v>
                </c:pt>
                <c:pt idx="9">
                  <c:v>6733694.2125</c:v>
                </c:pt>
                <c:pt idx="10">
                  <c:v>6789523.8875</c:v>
                </c:pt>
                <c:pt idx="11">
                  <c:v>6858196.625</c:v>
                </c:pt>
              </c:numCache>
            </c:numRef>
          </c:val>
          <c:smooth val="0"/>
        </c:ser>
        <c:hiLowLines>
          <c:spPr>
            <a:ln w="0">
              <a:noFill/>
            </a:ln>
          </c:spPr>
        </c:hiLowLines>
        <c:marker val="0"/>
        <c:axId val="33493825"/>
        <c:axId val="37904688"/>
      </c:lineChart>
      <c:catAx>
        <c:axId val="33493825"/>
        <c:scaling>
          <c:orientation val="minMax"/>
        </c:scaling>
        <c:delete val="0"/>
        <c:axPos val="b"/>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37904688"/>
        <c:crosses val="autoZero"/>
        <c:auto val="1"/>
        <c:lblAlgn val="ctr"/>
        <c:lblOffset val="100"/>
        <c:noMultiLvlLbl val="0"/>
      </c:catAx>
      <c:valAx>
        <c:axId val="37904688"/>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33493825"/>
        <c:crosses val="autoZero"/>
        <c:crossBetween val="between"/>
      </c:valAx>
      <c:spPr>
        <a:noFill/>
        <a:ln w="0">
          <a:noFill/>
        </a:ln>
      </c:spPr>
    </c:plotArea>
    <c:plotVisOnly val="1"/>
    <c:dispBlanksAs val="gap"/>
  </c:chart>
  <c:spPr>
    <a:solidFill>
      <a:srgbClr val="FFFFFF"/>
    </a:solidFill>
    <a:ln w="9360">
      <a:solidFill>
        <a:schemeClr val="dk1">
          <a:lumMod val="15000"/>
          <a:lumOff val="85000"/>
        </a:schemeClr>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style val="3"/>
  <c:chart>
    <c:title>
      <c:tx>
        <c:rich>
          <a:bodyPr rot="0"/>
          <a:lstStyle/>
          <a:p>
            <a:pPr>
              <a:defRPr sz="1300" b="0" u="none" strike="noStrike">
                <a:uFillTx/>
                <a:latin typeface="Noto Sans"/>
              </a:defRPr>
            </a:pPr>
            <a:r>
              <a:rPr lang="it-IT" sz="1400" b="0" u="none" strike="noStrike">
                <a:solidFill>
                  <a:srgbClr val="595959"/>
                </a:solidFill>
                <a:uFillTx/>
                <a:latin typeface="Calibri"/>
              </a:rPr>
              <a:t>Stima trend cilo- definitivo</a:t>
            </a:r>
          </a:p>
        </c:rich>
      </c:tx>
      <c:overlay val="0"/>
      <c:spPr>
        <a:noFill/>
        <a:ln w="0">
          <a:noFill/>
        </a:ln>
      </c:spPr>
    </c:title>
    <c:autoTitleDeleted val="0"/>
    <c:plotArea>
      <c:lineChart>
        <c:grouping val="standard"/>
        <c:varyColors val="0"/>
        <c:ser>
          <c:idx val="0"/>
          <c:order val="0"/>
          <c:spPr>
            <a:solidFill>
              <a:srgbClr val="4472C4"/>
            </a:solidFill>
            <a:ln w="19080">
              <a:solidFill>
                <a:srgbClr val="4472C4"/>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val>
            <c:numRef>
              <c:f>'DATABASE 1'!$G$207:$G$221</c:f>
              <c:numCache>
                <c:formatCode>0.00</c:formatCode>
                <c:ptCount val="15"/>
                <c:pt idx="0">
                  <c:v>4727263.10833333</c:v>
                </c:pt>
                <c:pt idx="1">
                  <c:v>4768983.78645833</c:v>
                </c:pt>
                <c:pt idx="2">
                  <c:v>4766946.21770833</c:v>
                </c:pt>
                <c:pt idx="3">
                  <c:v>4765093.315625</c:v>
                </c:pt>
                <c:pt idx="4">
                  <c:v>4758317.575</c:v>
                </c:pt>
                <c:pt idx="5">
                  <c:v>4807150.51979167</c:v>
                </c:pt>
                <c:pt idx="6">
                  <c:v>4825885.61770833</c:v>
                </c:pt>
                <c:pt idx="7">
                  <c:v>4848957.44895833</c:v>
                </c:pt>
                <c:pt idx="8">
                  <c:v>4868476.14166667</c:v>
                </c:pt>
                <c:pt idx="9">
                  <c:v>4920558.21979167</c:v>
                </c:pt>
                <c:pt idx="10">
                  <c:v>4925770.01770833</c:v>
                </c:pt>
                <c:pt idx="11">
                  <c:v>4925913.58229167</c:v>
                </c:pt>
                <c:pt idx="12">
                  <c:v>4930456.075</c:v>
                </c:pt>
                <c:pt idx="13">
                  <c:v>4990073.353125</c:v>
                </c:pt>
                <c:pt idx="14">
                  <c:v>5019829.7421875</c:v>
                </c:pt>
              </c:numCache>
            </c:numRef>
          </c:val>
          <c:smooth val="0"/>
        </c:ser>
        <c:hiLowLines>
          <c:spPr>
            <a:ln w="0">
              <a:noFill/>
            </a:ln>
          </c:spPr>
        </c:hiLowLines>
        <c:marker val="0"/>
        <c:axId val="23947349"/>
        <c:axId val="97716729"/>
      </c:lineChart>
      <c:catAx>
        <c:axId val="23947349"/>
        <c:scaling>
          <c:orientation val="minMax"/>
        </c:scaling>
        <c:delete val="0"/>
        <c:axPos val="b"/>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97716729"/>
        <c:crosses val="autoZero"/>
        <c:auto val="1"/>
        <c:lblAlgn val="ctr"/>
        <c:lblOffset val="100"/>
        <c:noMultiLvlLbl val="0"/>
      </c:catAx>
      <c:valAx>
        <c:axId val="97716729"/>
        <c:scaling>
          <c:orientation val="minMax"/>
        </c:scaling>
        <c:delete val="0"/>
        <c:axPos val="l"/>
        <c:majorGridlines>
          <c:spPr>
            <a:ln w="9360">
              <a:solidFill>
                <a:schemeClr val="dk1">
                  <a:lumMod val="15000"/>
                  <a:lumOff val="85000"/>
                </a:schemeClr>
              </a:solidFill>
              <a:round/>
            </a:ln>
          </c:spPr>
        </c:majorGridlines>
        <c:numFmt formatCode="0.00"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23947349"/>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en-US" sz="1400" b="0" u="none" strike="noStrike">
                <a:solidFill>
                  <a:schemeClr val="tx1">
                    <a:lumMod val="65000"/>
                    <a:lumOff val="35000"/>
                  </a:schemeClr>
                </a:solidFill>
                <a:uFillTx/>
                <a:latin typeface="Calibri"/>
              </a:rPr>
              <a:t>Media mobile</a:t>
            </a:r>
          </a:p>
        </c:rich>
      </c:tx>
      <c:overlay val="0"/>
      <c:spPr>
        <a:noFill/>
        <a:ln w="0">
          <a:noFill/>
        </a:ln>
      </c:spPr>
    </c:title>
    <c:autoTitleDeleted val="0"/>
    <c:plotArea>
      <c:lineChart>
        <c:grouping val="standard"/>
        <c:varyColors val="0"/>
        <c:ser>
          <c:idx val="0"/>
          <c:order val="0"/>
          <c:spPr>
            <a:solidFill>
              <a:srgbClr val="4472C4"/>
            </a:solidFill>
            <a:ln cap="rnd" w="28440">
              <a:solidFill>
                <a:srgbClr val="4472C4"/>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trendline>
            <c:spPr>
              <a:ln cap="rnd" w="19080">
                <a:solidFill>
                  <a:schemeClr val="accent1"/>
                </a:solidFill>
                <a:prstDash val="sysDot"/>
                <a:round/>
              </a:ln>
            </c:spPr>
            <c:trendlineType val="linear"/>
            <c:forward val="0"/>
            <c:backward val="0"/>
            <c:dispRSqr val="0"/>
            <c:dispEq val="0"/>
          </c:trendline>
          <c:trendline>
            <c:spPr>
              <a:ln cap="rnd" w="19080">
                <a:solidFill>
                  <a:schemeClr val="accent1"/>
                </a:solidFill>
                <a:prstDash val="sysDot"/>
                <a:round/>
              </a:ln>
            </c:spPr>
            <c:trendlineType val="linear"/>
            <c:forward val="0"/>
            <c:backward val="0"/>
            <c:dispRSqr val="0"/>
            <c:dispEq val="0"/>
          </c:trendline>
          <c:val>
            <c:numRef>
              <c:f>'DATABASE 1'!$C$234:$C$245</c:f>
              <c:numCache>
                <c:formatCode>0.00</c:formatCode>
                <c:ptCount val="12"/>
                <c:pt idx="0">
                  <c:v>10898.7625</c:v>
                </c:pt>
                <c:pt idx="1">
                  <c:v>11239.3125</c:v>
                </c:pt>
                <c:pt idx="2">
                  <c:v>11520.5125</c:v>
                </c:pt>
                <c:pt idx="3">
                  <c:v>12111.6</c:v>
                </c:pt>
                <c:pt idx="4">
                  <c:v>14833.525</c:v>
                </c:pt>
                <c:pt idx="5">
                  <c:v>17571.425</c:v>
                </c:pt>
                <c:pt idx="6">
                  <c:v>20324.8625</c:v>
                </c:pt>
                <c:pt idx="7">
                  <c:v>21876.825</c:v>
                </c:pt>
                <c:pt idx="8">
                  <c:v>21932.55</c:v>
                </c:pt>
                <c:pt idx="9">
                  <c:v>22274.8625</c:v>
                </c:pt>
                <c:pt idx="10">
                  <c:v>24334.1375</c:v>
                </c:pt>
                <c:pt idx="11">
                  <c:v>26465.1125</c:v>
                </c:pt>
              </c:numCache>
            </c:numRef>
          </c:val>
          <c:smooth val="0"/>
        </c:ser>
        <c:hiLowLines>
          <c:spPr>
            <a:ln w="0">
              <a:noFill/>
            </a:ln>
          </c:spPr>
        </c:hiLowLines>
        <c:marker val="0"/>
        <c:axId val="54256693"/>
        <c:axId val="38388233"/>
      </c:lineChart>
      <c:catAx>
        <c:axId val="54256693"/>
        <c:scaling>
          <c:orientation val="minMax"/>
        </c:scaling>
        <c:delete val="0"/>
        <c:axPos val="b"/>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38388233"/>
        <c:crosses val="autoZero"/>
        <c:auto val="1"/>
        <c:lblAlgn val="ctr"/>
        <c:lblOffset val="100"/>
        <c:noMultiLvlLbl val="0"/>
      </c:catAx>
      <c:valAx>
        <c:axId val="38388233"/>
        <c:scaling>
          <c:orientation val="minMax"/>
        </c:scaling>
        <c:delete val="0"/>
        <c:axPos val="l"/>
        <c:majorGridlines>
          <c:spPr>
            <a:ln w="9360">
              <a:solidFill>
                <a:schemeClr val="dk1">
                  <a:lumMod val="15000"/>
                  <a:lumOff val="85000"/>
                </a:schemeClr>
              </a:solidFill>
              <a:round/>
            </a:ln>
          </c:spPr>
        </c:majorGridlines>
        <c:numFmt formatCode="0.00"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54256693"/>
        <c:crosses val="autoZero"/>
        <c:crossBetween val="between"/>
      </c:valAx>
      <c:spPr>
        <a:noFill/>
        <a:ln w="0">
          <a:noFill/>
        </a:ln>
      </c:spPr>
    </c:plotArea>
    <c:plotVisOnly val="1"/>
    <c:dispBlanksAs val="gap"/>
  </c:chart>
  <c:spPr>
    <a:solidFill>
      <a:srgbClr val="FFFFFF"/>
    </a:solidFill>
    <a:ln w="9360">
      <a:solidFill>
        <a:schemeClr val="dk1">
          <a:lumMod val="15000"/>
          <a:lumOff val="85000"/>
        </a:schemeClr>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it-IT" sz="1400" b="0" u="none" strike="noStrike">
                <a:solidFill>
                  <a:schemeClr val="tx1">
                    <a:lumMod val="65000"/>
                    <a:lumOff val="35000"/>
                  </a:schemeClr>
                </a:solidFill>
                <a:uFillTx/>
                <a:latin typeface="Calibri"/>
              </a:rPr>
              <a:t>Stima</a:t>
            </a:r>
            <a:r>
              <a:rPr lang="it-IT" sz="1400" b="0" u="none" strike="noStrike">
                <a:solidFill>
                  <a:schemeClr val="tx1">
                    <a:lumMod val="65000"/>
                    <a:lumOff val="35000"/>
                  </a:schemeClr>
                </a:solidFill>
                <a:uFillTx/>
                <a:latin typeface="Calibri"/>
              </a:rPr>
              <a:t> trend ciclo- definitivo</a:t>
            </a:r>
          </a:p>
        </c:rich>
      </c:tx>
      <c:overlay val="0"/>
      <c:spPr>
        <a:noFill/>
        <a:ln w="0">
          <a:noFill/>
        </a:ln>
      </c:spPr>
    </c:title>
    <c:autoTitleDeleted val="0"/>
    <c:plotArea>
      <c:lineChart>
        <c:grouping val="standard"/>
        <c:varyColors val="0"/>
        <c:ser>
          <c:idx val="0"/>
          <c:order val="0"/>
          <c:tx>
            <c:strRef>
              <c:f>'DATABASE 1'!$G$233</c:f>
              <c:strCache>
                <c:ptCount val="1"/>
                <c:pt idx="0">
                  <c:v>Tt</c:v>
                </c:pt>
              </c:strCache>
            </c:strRef>
          </c:tx>
          <c:spPr>
            <a:solidFill>
              <a:srgbClr val="4472C4"/>
            </a:solidFill>
            <a:ln cap="rnd" w="28440">
              <a:solidFill>
                <a:srgbClr val="4472C4"/>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val>
            <c:numRef>
              <c:f>'DATABASE 1'!$G$234:$G$249</c:f>
              <c:numCache>
                <c:formatCode>0.00</c:formatCode>
                <c:ptCount val="16"/>
                <c:pt idx="0">
                  <c:v>10425.1296875</c:v>
                </c:pt>
                <c:pt idx="1">
                  <c:v>10914.2875</c:v>
                </c:pt>
                <c:pt idx="2">
                  <c:v>11657.6958333333</c:v>
                </c:pt>
                <c:pt idx="3">
                  <c:v>11644.015625</c:v>
                </c:pt>
                <c:pt idx="4">
                  <c:v>11327.53125</c:v>
                </c:pt>
                <c:pt idx="5">
                  <c:v>11247.5541666667</c:v>
                </c:pt>
                <c:pt idx="6">
                  <c:v>12782.4625</c:v>
                </c:pt>
                <c:pt idx="7">
                  <c:v>13593.515625</c:v>
                </c:pt>
                <c:pt idx="8">
                  <c:v>14095.8979166667</c:v>
                </c:pt>
                <c:pt idx="9">
                  <c:v>14030.0208333333</c:v>
                </c:pt>
                <c:pt idx="10">
                  <c:v>14685.2291666667</c:v>
                </c:pt>
                <c:pt idx="11">
                  <c:v>14616.315625</c:v>
                </c:pt>
                <c:pt idx="12">
                  <c:v>14871.9979166667</c:v>
                </c:pt>
                <c:pt idx="13">
                  <c:v>15451.4541666667</c:v>
                </c:pt>
                <c:pt idx="14">
                  <c:v>16780.8291666667</c:v>
                </c:pt>
                <c:pt idx="15">
                  <c:v>17273.86875</c:v>
                </c:pt>
              </c:numCache>
            </c:numRef>
          </c:val>
          <c:smooth val="0"/>
        </c:ser>
        <c:hiLowLines>
          <c:spPr>
            <a:ln w="0">
              <a:noFill/>
            </a:ln>
          </c:spPr>
        </c:hiLowLines>
        <c:marker val="0"/>
        <c:axId val="31481166"/>
        <c:axId val="36802373"/>
      </c:lineChart>
      <c:catAx>
        <c:axId val="31481166"/>
        <c:scaling>
          <c:orientation val="minMax"/>
        </c:scaling>
        <c:delete val="0"/>
        <c:axPos val="b"/>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36802373"/>
        <c:crosses val="autoZero"/>
        <c:auto val="1"/>
        <c:lblAlgn val="ctr"/>
        <c:lblOffset val="100"/>
        <c:noMultiLvlLbl val="0"/>
      </c:catAx>
      <c:valAx>
        <c:axId val="36802373"/>
        <c:scaling>
          <c:orientation val="minMax"/>
        </c:scaling>
        <c:delete val="0"/>
        <c:axPos val="l"/>
        <c:majorGridlines>
          <c:spPr>
            <a:ln w="9360">
              <a:solidFill>
                <a:schemeClr val="dk1">
                  <a:lumMod val="15000"/>
                  <a:lumOff val="85000"/>
                </a:schemeClr>
              </a:solidFill>
              <a:round/>
            </a:ln>
          </c:spPr>
        </c:majorGridlines>
        <c:numFmt formatCode="0.00"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31481166"/>
        <c:crosses val="autoZero"/>
        <c:crossBetween val="between"/>
      </c:valAx>
      <c:spPr>
        <a:noFill/>
        <a:ln w="0">
          <a:noFill/>
        </a:ln>
      </c:spPr>
    </c:plotArea>
    <c:plotVisOnly val="1"/>
    <c:dispBlanksAs val="gap"/>
  </c:chart>
  <c:spPr>
    <a:solidFill>
      <a:srgbClr val="FFFFFF"/>
    </a:solidFill>
    <a:ln w="9360">
      <a:solidFill>
        <a:schemeClr val="dk1">
          <a:lumMod val="15000"/>
          <a:lumOff val="85000"/>
        </a:schemeClr>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it-IT" sz="1400" b="0" u="none" strike="noStrike">
                <a:solidFill>
                  <a:schemeClr val="tx1">
                    <a:lumMod val="65000"/>
                    <a:lumOff val="35000"/>
                  </a:schemeClr>
                </a:solidFill>
                <a:uFillTx/>
                <a:latin typeface="Calibri"/>
              </a:rPr>
              <a:t>Stima</a:t>
            </a:r>
            <a:r>
              <a:rPr lang="it-IT" sz="1400" b="0" u="none" strike="noStrike">
                <a:solidFill>
                  <a:schemeClr val="tx1">
                    <a:lumMod val="65000"/>
                    <a:lumOff val="35000"/>
                  </a:schemeClr>
                </a:solidFill>
                <a:uFillTx/>
                <a:latin typeface="Calibri"/>
              </a:rPr>
              <a:t> dell'intera componente sistematica</a:t>
            </a:r>
          </a:p>
        </c:rich>
      </c:tx>
      <c:overlay val="0"/>
      <c:spPr>
        <a:noFill/>
        <a:ln w="0">
          <a:noFill/>
        </a:ln>
      </c:spPr>
    </c:title>
    <c:autoTitleDeleted val="0"/>
    <c:plotArea>
      <c:lineChart>
        <c:grouping val="standard"/>
        <c:varyColors val="0"/>
        <c:ser>
          <c:idx val="0"/>
          <c:order val="0"/>
          <c:tx>
            <c:strRef>
              <c:f>'DATABASE 1'!$B$93</c:f>
              <c:strCache>
                <c:ptCount val="1"/>
                <c:pt idx="0">
                  <c:v>Yt</c:v>
                </c:pt>
              </c:strCache>
            </c:strRef>
          </c:tx>
          <c:spPr>
            <a:solidFill>
              <a:srgbClr val="4472C4"/>
            </a:solidFill>
            <a:ln cap="rnd" w="28440">
              <a:solidFill>
                <a:srgbClr val="4472C4"/>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val>
            <c:numRef>
              <c:f>'DATABASE 1'!$B$94:$B$109</c:f>
              <c:numCache>
                <c:formatCode>0.00</c:formatCode>
                <c:ptCount val="16"/>
                <c:pt idx="0">
                  <c:v>6712920.8</c:v>
                </c:pt>
                <c:pt idx="1">
                  <c:v>6801412</c:v>
                </c:pt>
                <c:pt idx="2">
                  <c:v>6793490.4</c:v>
                </c:pt>
                <c:pt idx="3">
                  <c:v>6728775.4</c:v>
                </c:pt>
                <c:pt idx="4">
                  <c:v>6865601.1</c:v>
                </c:pt>
                <c:pt idx="5">
                  <c:v>6973257.3</c:v>
                </c:pt>
                <c:pt idx="6">
                  <c:v>7019601.4</c:v>
                </c:pt>
                <c:pt idx="7">
                  <c:v>7249226.5</c:v>
                </c:pt>
                <c:pt idx="8">
                  <c:v>7546208.8</c:v>
                </c:pt>
                <c:pt idx="9">
                  <c:v>7811322.1</c:v>
                </c:pt>
                <c:pt idx="10">
                  <c:v>7973928.9</c:v>
                </c:pt>
                <c:pt idx="11">
                  <c:v>8066255.7</c:v>
                </c:pt>
                <c:pt idx="12">
                  <c:v>8290391.5</c:v>
                </c:pt>
                <c:pt idx="13">
                  <c:v>8476370.6</c:v>
                </c:pt>
                <c:pt idx="14">
                  <c:v>8580057.7</c:v>
                </c:pt>
                <c:pt idx="15">
                  <c:v>8880738.8</c:v>
                </c:pt>
              </c:numCache>
            </c:numRef>
          </c:val>
          <c:smooth val="0"/>
        </c:ser>
        <c:ser>
          <c:idx val="1"/>
          <c:order val="1"/>
          <c:tx>
            <c:strRef>
              <c:f>'DATABASE 1'!$H$93</c:f>
              <c:strCache>
                <c:ptCount val="1"/>
                <c:pt idx="0">
                  <c:v>Yt*(st+Tt)</c:v>
                </c:pt>
              </c:strCache>
            </c:strRef>
          </c:tx>
          <c:spPr>
            <a:solidFill>
              <a:srgbClr val="ED7D31"/>
            </a:solidFill>
            <a:ln cap="rnd" w="28440">
              <a:solidFill>
                <a:srgbClr val="ED7D31"/>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val>
            <c:numRef>
              <c:f>'DATABASE 1'!$H$94:$H$109</c:f>
              <c:numCache>
                <c:formatCode>0.00</c:formatCode>
                <c:ptCount val="16"/>
                <c:pt idx="0">
                  <c:v>-20778659.235</c:v>
                </c:pt>
                <c:pt idx="1">
                  <c:v>5895025.345</c:v>
                </c:pt>
                <c:pt idx="2">
                  <c:v>5817065.615</c:v>
                </c:pt>
                <c:pt idx="3">
                  <c:v>9595423.505</c:v>
                </c:pt>
                <c:pt idx="4">
                  <c:v>5967687.085</c:v>
                </c:pt>
                <c:pt idx="5">
                  <c:v>6094003.495</c:v>
                </c:pt>
                <c:pt idx="6">
                  <c:v>6190346.665</c:v>
                </c:pt>
                <c:pt idx="7">
                  <c:v>7397717.65</c:v>
                </c:pt>
                <c:pt idx="8">
                  <c:v>3928788.08</c:v>
                </c:pt>
                <c:pt idx="9">
                  <c:v>6990199.645</c:v>
                </c:pt>
                <c:pt idx="10">
                  <c:v>7076025.015</c:v>
                </c:pt>
                <c:pt idx="11">
                  <c:v>10976558.855</c:v>
                </c:pt>
                <c:pt idx="12">
                  <c:v>7431638.935</c:v>
                </c:pt>
                <c:pt idx="13">
                  <c:v>7625788.295</c:v>
                </c:pt>
                <c:pt idx="14">
                  <c:v>7786330.965</c:v>
                </c:pt>
                <c:pt idx="15">
                  <c:v>8880738.8</c:v>
                </c:pt>
              </c:numCache>
            </c:numRef>
          </c:val>
          <c:smooth val="0"/>
        </c:ser>
        <c:hiLowLines>
          <c:spPr>
            <a:ln w="0">
              <a:noFill/>
            </a:ln>
          </c:spPr>
        </c:hiLowLines>
        <c:marker val="0"/>
        <c:axId val="49362749"/>
        <c:axId val="4082980"/>
      </c:lineChart>
      <c:catAx>
        <c:axId val="49362749"/>
        <c:scaling>
          <c:orientation val="minMax"/>
        </c:scaling>
        <c:delete val="0"/>
        <c:axPos val="b"/>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4082980"/>
        <c:crosses val="autoZero"/>
        <c:auto val="1"/>
        <c:lblAlgn val="ctr"/>
        <c:lblOffset val="100"/>
        <c:noMultiLvlLbl val="0"/>
      </c:catAx>
      <c:valAx>
        <c:axId val="4082980"/>
        <c:scaling>
          <c:orientation val="minMax"/>
        </c:scaling>
        <c:delete val="0"/>
        <c:axPos val="l"/>
        <c:majorGridlines>
          <c:spPr>
            <a:ln w="9360">
              <a:solidFill>
                <a:schemeClr val="dk1">
                  <a:lumMod val="15000"/>
                  <a:lumOff val="85000"/>
                </a:schemeClr>
              </a:solidFill>
              <a:round/>
            </a:ln>
          </c:spPr>
        </c:majorGridlines>
        <c:numFmt formatCode="0.00"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49362749"/>
        <c:crosses val="autoZero"/>
        <c:crossBetween val="between"/>
      </c:valAx>
      <c:spPr>
        <a:no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Calibri"/>
            </a:defRPr>
          </a:pPr>
        </a:p>
      </c:txPr>
    </c:legend>
    <c:plotVisOnly val="1"/>
    <c:dispBlanksAs val="gap"/>
  </c:chart>
  <c:spPr>
    <a:solidFill>
      <a:srgbClr val="FFFFFF"/>
    </a:solidFill>
    <a:ln w="9360">
      <a:solidFill>
        <a:schemeClr val="dk1">
          <a:lumMod val="15000"/>
          <a:lumOff val="85000"/>
        </a:schemeClr>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rot="0"/>
          <a:lstStyle/>
          <a:p>
            <a:pPr>
              <a:defRPr sz="1300" b="0" u="none" strike="noStrike">
                <a:uFillTx/>
                <a:latin typeface="Noto Sans"/>
              </a:defRPr>
            </a:pPr>
            <a:r>
              <a:rPr lang="en-US" sz="1400" b="0" u="none" strike="noStrike">
                <a:solidFill>
                  <a:schemeClr val="tx1">
                    <a:lumMod val="65000"/>
                    <a:lumOff val="35000"/>
                  </a:schemeClr>
                </a:solidFill>
                <a:uFillTx/>
                <a:latin typeface="Calibri"/>
              </a:rPr>
              <a:t>Residui</a:t>
            </a:r>
          </a:p>
        </c:rich>
      </c:tx>
      <c:overlay val="0"/>
      <c:spPr>
        <a:noFill/>
        <a:ln w="0">
          <a:noFill/>
        </a:ln>
      </c:spPr>
    </c:title>
    <c:autoTitleDeleted val="0"/>
    <c:plotArea>
      <c:layout>
        <c:manualLayout>
          <c:layoutTarget val="inner"/>
          <c:xMode val="edge"/>
          <c:yMode val="edge"/>
          <c:x val="0.0649707803368855"/>
          <c:y val="0.148521004225702"/>
          <c:w val="0.915434857339292"/>
          <c:h val="0.720855083271191"/>
        </c:manualLayout>
      </c:layout>
      <c:barChart>
        <c:barDir val="col"/>
        <c:grouping val="clustered"/>
        <c:varyColors val="0"/>
        <c:axId val="37678163"/>
        <c:axId val="65585692"/>
      </c:barChart>
      <c:catAx>
        <c:axId val="37678163"/>
        <c:scaling>
          <c:orientation val="minMax"/>
        </c:scaling>
        <c:delete val="0"/>
        <c:axPos val="b"/>
        <c:numFmt formatCode="General" sourceLinked="1"/>
        <c:tickLblPos val="none"/>
        <c:spPr>
          <a:ln w="0">
            <a:noFill/>
          </a:ln>
        </c:spPr>
        <c:txPr>
          <a:bodyPr/>
          <a:lstStyle/>
          <a:p>
            <a:pPr>
              <a:defRPr sz="1800" b="0"/>
            </a:pPr>
          </a:p>
        </c:txPr>
        <c:crossAx val="65585692"/>
        <c:auto val="1"/>
        <c:lblAlgn val="ctr"/>
        <c:lblOffset val="100"/>
        <c:noMultiLvlLbl val="0"/>
      </c:catAx>
      <c:valAx>
        <c:axId val="65585692"/>
        <c:scaling>
          <c:orientation val="minMax"/>
        </c:scaling>
        <c:delete val="0"/>
        <c:axPos val="l"/>
        <c:numFmt formatCode="General" sourceLinked="1"/>
        <c:tickLblPos val="none"/>
        <c:spPr>
          <a:ln w="0">
            <a:noFill/>
          </a:ln>
        </c:spPr>
        <c:txPr>
          <a:bodyPr/>
          <a:lstStyle/>
          <a:p>
            <a:pPr>
              <a:defRPr sz="1800" b="0"/>
            </a:pPr>
          </a:p>
        </c:txPr>
        <c:crossAx val="37678163"/>
        <c:crossBetween val="midCat"/>
      </c:valAx>
      <c:spPr>
        <a:noFill/>
        <a:ln w="0">
          <a:noFill/>
        </a:ln>
      </c:spPr>
    </c:plotArea>
    <c:plotVisOnly val="1"/>
    <c:dispBlanksAs val="gap"/>
  </c:chart>
  <c:spPr>
    <a:solidFill>
      <a:srgbClr val="FFFFFF"/>
    </a:solidFill>
    <a:ln w="9360">
      <a:solidFill>
        <a:schemeClr val="dk1">
          <a:lumMod val="15000"/>
          <a:lumOff val="85000"/>
        </a:schemeClr>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en-US" sz="1400" b="0" u="none" strike="noStrike">
                <a:solidFill>
                  <a:schemeClr val="tx1">
                    <a:lumMod val="65000"/>
                    <a:lumOff val="35000"/>
                  </a:schemeClr>
                </a:solidFill>
                <a:uFillTx/>
                <a:latin typeface="Calibri"/>
              </a:rPr>
              <a:t>Residui</a:t>
            </a:r>
          </a:p>
        </c:rich>
      </c:tx>
      <c:overlay val="0"/>
      <c:spPr>
        <a:noFill/>
        <a:ln w="0">
          <a:noFill/>
        </a:ln>
      </c:spPr>
    </c:title>
    <c:autoTitleDeleted val="0"/>
    <c:plotArea>
      <c:barChart>
        <c:barDir val="col"/>
        <c:grouping val="clustered"/>
        <c:varyColors val="0"/>
        <c:ser>
          <c:idx val="0"/>
          <c:order val="0"/>
          <c:tx>
            <c:strRef>
              <c:f>'DATABASE 1'!$N$162</c:f>
              <c:strCache>
                <c:ptCount val="1"/>
                <c:pt idx="0">
                  <c:v>f(Rst)</c:v>
                </c:pt>
              </c:strCache>
            </c:strRef>
          </c:tx>
          <c:spPr>
            <a:solidFill>
              <a:srgbClr val="4472C4"/>
            </a:solidFill>
            <a:ln w="12600">
              <a:noFill/>
            </a:ln>
          </c:spPr>
          <c:invertIfNegative val="0"/>
          <c:dLbls>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'DATABASE 1'!$N$163:$N$170</c:f>
              <c:numCache>
                <c:formatCode>General</c:formatCode>
                <c:ptCount val="8"/>
                <c:pt idx="0">
                  <c:v>1</c:v>
                </c:pt>
                <c:pt idx="1">
                  <c:v>0</c:v>
                </c:pt>
                <c:pt idx="2">
                  <c:v>8</c:v>
                </c:pt>
                <c:pt idx="3">
                  <c:v>1</c:v>
                </c:pt>
                <c:pt idx="4">
                  <c:v>1</c:v>
                </c:pt>
                <c:pt idx="5">
                  <c:v>2</c:v>
                </c:pt>
                <c:pt idx="6">
                  <c:v>1</c:v>
                </c:pt>
                <c:pt idx="7">
                  <c:v>0</c:v>
                </c:pt>
              </c:numCache>
            </c:numRef>
          </c:val>
        </c:ser>
        <c:gapWidth val="219"/>
        <c:overlap val="-27"/>
        <c:axId val="30837659"/>
        <c:axId val="94918871"/>
      </c:barChart>
      <c:catAx>
        <c:axId val="30837659"/>
        <c:scaling>
          <c:orientation val="minMax"/>
        </c:scaling>
        <c:delete val="0"/>
        <c:axPos val="b"/>
        <c:numFmt formatCode="General" sourceLinked="1"/>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94918871"/>
        <c:crosses val="autoZero"/>
        <c:auto val="1"/>
        <c:lblAlgn val="ctr"/>
        <c:lblOffset val="100"/>
        <c:noMultiLvlLbl val="0"/>
      </c:catAx>
      <c:valAx>
        <c:axId val="94918871"/>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30837659"/>
        <c:crosses val="autoZero"/>
        <c:crossBetween val="between"/>
      </c:valAx>
      <c:spPr>
        <a:noFill/>
        <a:ln w="0">
          <a:noFill/>
        </a:ln>
      </c:spPr>
    </c:plotArea>
    <c:plotVisOnly val="1"/>
    <c:dispBlanksAs val="gap"/>
  </c:chart>
  <c:spPr>
    <a:solidFill>
      <a:srgbClr val="FFFFFF"/>
    </a:solidFill>
    <a:ln w="9360">
      <a:solidFill>
        <a:schemeClr val="dk1">
          <a:lumMod val="15000"/>
          <a:lumOff val="85000"/>
        </a:schemeClr>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en-US" sz="1400" b="0" u="none" strike="noStrike">
                <a:solidFill>
                  <a:schemeClr val="tx1">
                    <a:lumMod val="65000"/>
                    <a:lumOff val="35000"/>
                  </a:schemeClr>
                </a:solidFill>
                <a:uFillTx/>
                <a:latin typeface="Calibri"/>
              </a:rPr>
              <a:t>Media mobile</a:t>
            </a:r>
          </a:p>
        </c:rich>
      </c:tx>
      <c:overlay val="0"/>
      <c:spPr>
        <a:noFill/>
        <a:ln w="0">
          <a:noFill/>
        </a:ln>
      </c:spPr>
    </c:title>
    <c:autoTitleDeleted val="0"/>
    <c:plotArea>
      <c:lineChart>
        <c:grouping val="standard"/>
        <c:varyColors val="0"/>
        <c:ser>
          <c:idx val="0"/>
          <c:order val="0"/>
          <c:tx>
            <c:strRef>
              <c:f>'DATABASE 1'!$C$149</c:f>
              <c:strCache>
                <c:ptCount val="1"/>
                <c:pt idx="0">
                  <c:v>MMt</c:v>
                </c:pt>
              </c:strCache>
            </c:strRef>
          </c:tx>
          <c:spPr>
            <a:solidFill>
              <a:srgbClr val="4472C4"/>
            </a:solidFill>
            <a:ln cap="rnd" w="28440">
              <a:solidFill>
                <a:srgbClr val="4472C4"/>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trendline>
            <c:spPr>
              <a:ln cap="rnd" w="19080">
                <a:solidFill>
                  <a:schemeClr val="accent1"/>
                </a:solidFill>
                <a:prstDash val="sysDot"/>
                <a:round/>
              </a:ln>
            </c:spPr>
            <c:trendlineType val="linear"/>
            <c:forward val="0"/>
            <c:backward val="0"/>
            <c:dispRSqr val="0"/>
            <c:dispEq val="0"/>
          </c:trendline>
          <c:val>
            <c:numRef>
              <c:f>'DATABASE 1'!$C$150:$C$161</c:f>
              <c:numCache>
                <c:formatCode>General</c:formatCode>
                <c:ptCount val="12"/>
                <c:pt idx="0">
                  <c:v>1422874.75</c:v>
                </c:pt>
                <c:pt idx="1">
                  <c:v>1405067.75</c:v>
                </c:pt>
                <c:pt idx="2">
                  <c:v>1401685.25</c:v>
                </c:pt>
                <c:pt idx="3">
                  <c:v>1422038.625</c:v>
                </c:pt>
                <c:pt idx="4">
                  <c:v>1484329.75</c:v>
                </c:pt>
                <c:pt idx="5">
                  <c:v>1577268.625</c:v>
                </c:pt>
                <c:pt idx="6">
                  <c:v>1694074.75</c:v>
                </c:pt>
                <c:pt idx="7">
                  <c:v>1810063.375</c:v>
                </c:pt>
                <c:pt idx="8">
                  <c:v>1924597.375</c:v>
                </c:pt>
                <c:pt idx="9">
                  <c:v>2021779.5</c:v>
                </c:pt>
                <c:pt idx="10">
                  <c:v>2109824.625</c:v>
                </c:pt>
                <c:pt idx="11">
                  <c:v>2182335.625</c:v>
                </c:pt>
              </c:numCache>
            </c:numRef>
          </c:val>
          <c:smooth val="0"/>
        </c:ser>
        <c:hiLowLines>
          <c:spPr>
            <a:ln w="0">
              <a:noFill/>
            </a:ln>
          </c:spPr>
        </c:hiLowLines>
        <c:marker val="0"/>
        <c:axId val="74289055"/>
        <c:axId val="97767830"/>
      </c:lineChart>
      <c:catAx>
        <c:axId val="74289055"/>
        <c:scaling>
          <c:orientation val="minMax"/>
        </c:scaling>
        <c:delete val="0"/>
        <c:axPos val="b"/>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97767830"/>
        <c:crosses val="autoZero"/>
        <c:auto val="1"/>
        <c:lblAlgn val="ctr"/>
        <c:lblOffset val="100"/>
        <c:noMultiLvlLbl val="0"/>
      </c:catAx>
      <c:valAx>
        <c:axId val="97767830"/>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74289055"/>
        <c:crosses val="autoZero"/>
        <c:crossBetween val="between"/>
      </c:valAx>
      <c:spPr>
        <a:noFill/>
        <a:ln w="0">
          <a:noFill/>
        </a:ln>
      </c:spPr>
    </c:plotArea>
    <c:plotVisOnly val="1"/>
    <c:dispBlanksAs val="gap"/>
  </c:chart>
  <c:spPr>
    <a:solidFill>
      <a:srgbClr val="FFFFFF"/>
    </a:solidFill>
    <a:ln w="9360">
      <a:solidFill>
        <a:schemeClr val="dk1">
          <a:lumMod val="15000"/>
          <a:lumOff val="85000"/>
        </a:schemeClr>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it-IT" sz="1400" b="0" u="none" strike="noStrike">
                <a:solidFill>
                  <a:srgbClr val="595959"/>
                </a:solidFill>
                <a:uFillTx/>
                <a:latin typeface="Calibri"/>
              </a:rPr>
              <a:t>Stima trend cilo- definitivo</a:t>
            </a:r>
          </a:p>
        </c:rich>
      </c:tx>
      <c:overlay val="0"/>
      <c:spPr>
        <a:noFill/>
        <a:ln w="0">
          <a:noFill/>
        </a:ln>
      </c:spPr>
    </c:title>
    <c:autoTitleDeleted val="0"/>
    <c:plotArea>
      <c:lineChart>
        <c:grouping val="standard"/>
        <c:varyColors val="0"/>
        <c:ser>
          <c:idx val="0"/>
          <c:order val="0"/>
          <c:tx>
            <c:strRef>
              <c:f>'DATABASE 1'!$G$149</c:f>
              <c:strCache>
                <c:ptCount val="1"/>
                <c:pt idx="0">
                  <c:v>Tt</c:v>
                </c:pt>
              </c:strCache>
            </c:strRef>
          </c:tx>
          <c:spPr>
            <a:solidFill>
              <a:srgbClr val="4472C4"/>
            </a:solidFill>
            <a:ln cap="rnd" w="28440">
              <a:solidFill>
                <a:srgbClr val="4472C4"/>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trendline>
            <c:spPr>
              <a:ln cap="rnd" w="19080">
                <a:solidFill>
                  <a:schemeClr val="accent1"/>
                </a:solidFill>
                <a:prstDash val="sysDot"/>
                <a:round/>
              </a:ln>
            </c:spPr>
            <c:trendlineType val="linear"/>
            <c:forward val="0"/>
            <c:backward val="0"/>
            <c:dispRSqr val="0"/>
            <c:dispEq val="0"/>
          </c:trendline>
          <c:val>
            <c:numRef>
              <c:f>'DATABASE 1'!$G$150:$G$165</c:f>
              <c:numCache>
                <c:formatCode>0.00</c:formatCode>
                <c:ptCount val="16"/>
                <c:pt idx="0">
                  <c:v>1160060.21875</c:v>
                </c:pt>
                <c:pt idx="1">
                  <c:v>1175168.78125</c:v>
                </c:pt>
                <c:pt idx="2">
                  <c:v>1201997.26041667</c:v>
                </c:pt>
                <c:pt idx="3">
                  <c:v>1186997.92708333</c:v>
                </c:pt>
                <c:pt idx="4">
                  <c:v>1173187.03125</c:v>
                </c:pt>
                <c:pt idx="5">
                  <c:v>1170030.11458333</c:v>
                </c:pt>
                <c:pt idx="6">
                  <c:v>1221666.26041667</c:v>
                </c:pt>
                <c:pt idx="7">
                  <c:v>1240938.26041667</c:v>
                </c:pt>
                <c:pt idx="8">
                  <c:v>1263165.03125</c:v>
                </c:pt>
                <c:pt idx="9">
                  <c:v>1284673.78125</c:v>
                </c:pt>
                <c:pt idx="10">
                  <c:v>1348134.59375</c:v>
                </c:pt>
                <c:pt idx="11">
                  <c:v>1364941.92708333</c:v>
                </c:pt>
                <c:pt idx="12">
                  <c:v>1376469.69791667</c:v>
                </c:pt>
                <c:pt idx="13">
                  <c:v>1383961.44791667</c:v>
                </c:pt>
                <c:pt idx="14">
                  <c:v>1436247.92708333</c:v>
                </c:pt>
                <c:pt idx="15">
                  <c:v>1463198.28125</c:v>
                </c:pt>
              </c:numCache>
            </c:numRef>
          </c:val>
          <c:smooth val="0"/>
        </c:ser>
        <c:hiLowLines>
          <c:spPr>
            <a:ln w="0">
              <a:noFill/>
            </a:ln>
          </c:spPr>
        </c:hiLowLines>
        <c:marker val="0"/>
        <c:axId val="82796764"/>
        <c:axId val="57800326"/>
      </c:lineChart>
      <c:catAx>
        <c:axId val="82796764"/>
        <c:scaling>
          <c:orientation val="minMax"/>
        </c:scaling>
        <c:delete val="0"/>
        <c:axPos val="b"/>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57800326"/>
        <c:crosses val="autoZero"/>
        <c:auto val="1"/>
        <c:lblAlgn val="ctr"/>
        <c:lblOffset val="100"/>
        <c:noMultiLvlLbl val="0"/>
      </c:catAx>
      <c:valAx>
        <c:axId val="57800326"/>
        <c:scaling>
          <c:orientation val="minMax"/>
        </c:scaling>
        <c:delete val="0"/>
        <c:axPos val="l"/>
        <c:majorGridlines>
          <c:spPr>
            <a:ln w="9360">
              <a:solidFill>
                <a:schemeClr val="dk1">
                  <a:lumMod val="15000"/>
                  <a:lumOff val="85000"/>
                </a:schemeClr>
              </a:solidFill>
              <a:round/>
            </a:ln>
          </c:spPr>
        </c:majorGridlines>
        <c:numFmt formatCode="0.00"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82796764"/>
        <c:crosses val="autoZero"/>
        <c:crossBetween val="between"/>
      </c:valAx>
      <c:spPr>
        <a:noFill/>
        <a:ln w="0">
          <a:noFill/>
        </a:ln>
      </c:spPr>
    </c:plotArea>
    <c:plotVisOnly val="1"/>
    <c:dispBlanksAs val="gap"/>
  </c:chart>
  <c:spPr>
    <a:solidFill>
      <a:srgbClr val="FFFFFF"/>
    </a:solidFill>
    <a:ln w="9360">
      <a:solidFill>
        <a:schemeClr val="dk1">
          <a:lumMod val="15000"/>
          <a:lumOff val="85000"/>
        </a:schemeClr>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en-US" sz="1400" b="0" u="none" strike="noStrike">
                <a:solidFill>
                  <a:srgbClr val="595959"/>
                </a:solidFill>
                <a:uFillTx/>
                <a:latin typeface="Calibri"/>
              </a:rPr>
              <a:t>Residui</a:t>
            </a:r>
          </a:p>
        </c:rich>
      </c:tx>
      <c:overlay val="0"/>
      <c:spPr>
        <a:noFill/>
        <a:ln w="0">
          <a:noFill/>
        </a:ln>
      </c:spPr>
    </c:title>
    <c:autoTitleDeleted val="0"/>
    <c:plotArea>
      <c:scatterChart>
        <c:scatterStyle val="lineMarker"/>
        <c:varyColors val="0"/>
        <c:ser>
          <c:idx val="0"/>
          <c:order val="0"/>
          <c:tx>
            <c:strRef>
              <c:f>'RLM7- EMI'!$L$31</c:f>
              <c:strCache>
                <c:ptCount val="1"/>
                <c:pt idx="0">
                  <c:v>Residui</c:v>
                </c:pt>
              </c:strCache>
            </c:strRef>
          </c:tx>
          <c:spPr>
            <a:solidFill>
              <a:srgbClr val="4472C4"/>
            </a:solidFill>
            <a:ln w="25560">
              <a:noFill/>
            </a:ln>
          </c:spPr>
          <c:marker>
            <c:symbol val="circle"/>
            <c:size val="4"/>
            <c:spPr>
              <a:solidFill>
                <a:srgbClr val="4472C4"/>
              </a:solidFill>
            </c:spPr>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25560">
                  <a:noFill/>
                </a:ln>
              </c:spPr>
            </c:leaderLines>
            <c:extLst>
              <c:ext xmlns:c15="http://schemas.microsoft.com/office/drawing/2012/chart" uri="{CE6537A1-D6FC-4f65-9D91-7224C49458BB}">
                <c15:showLeaderLines val="1"/>
              </c:ext>
            </c:extLst>
          </c:dLbls>
          <c:xVal>
            <c:numRef>
              <c:f>'RLM7- EMI'!$K$32:$K$66</c:f>
              <c:numCache>
                <c:formatCode>General</c:formatCode>
                <c:ptCount val="35"/>
                <c:pt idx="0">
                  <c:v>75934.1165422542</c:v>
                </c:pt>
                <c:pt idx="1">
                  <c:v>80704.0511312371</c:v>
                </c:pt>
                <c:pt idx="2">
                  <c:v>55099.1771141046</c:v>
                </c:pt>
                <c:pt idx="3">
                  <c:v>42077.1206970259</c:v>
                </c:pt>
                <c:pt idx="4">
                  <c:v>27569.7947073599</c:v>
                </c:pt>
                <c:pt idx="5">
                  <c:v>42376.6600813791</c:v>
                </c:pt>
                <c:pt idx="6">
                  <c:v>73765.5142913419</c:v>
                </c:pt>
                <c:pt idx="7">
                  <c:v>36575.0320538303</c:v>
                </c:pt>
                <c:pt idx="8">
                  <c:v>47630.5523717325</c:v>
                </c:pt>
                <c:pt idx="9">
                  <c:v>239689.083200423</c:v>
                </c:pt>
                <c:pt idx="10">
                  <c:v>363499.167999865</c:v>
                </c:pt>
                <c:pt idx="11">
                  <c:v>28965.3389105694</c:v>
                </c:pt>
                <c:pt idx="12">
                  <c:v>42550.2132411019</c:v>
                </c:pt>
                <c:pt idx="13">
                  <c:v>7845.29407062878</c:v>
                </c:pt>
                <c:pt idx="14">
                  <c:v>52467.5957809065</c:v>
                </c:pt>
                <c:pt idx="15">
                  <c:v>255993.348631152</c:v>
                </c:pt>
                <c:pt idx="16">
                  <c:v>38918.2496958864</c:v>
                </c:pt>
                <c:pt idx="17">
                  <c:v>49828.4351287295</c:v>
                </c:pt>
                <c:pt idx="18">
                  <c:v>3798.56274753278</c:v>
                </c:pt>
                <c:pt idx="19">
                  <c:v>32593.4752032331</c:v>
                </c:pt>
                <c:pt idx="20">
                  <c:v>11018.4087474014</c:v>
                </c:pt>
                <c:pt idx="21">
                  <c:v>134757.586421961</c:v>
                </c:pt>
                <c:pt idx="22">
                  <c:v>22678.9869512971</c:v>
                </c:pt>
                <c:pt idx="23">
                  <c:v>55586.5160873518</c:v>
                </c:pt>
                <c:pt idx="24">
                  <c:v>142346.383258918</c:v>
                </c:pt>
                <c:pt idx="25">
                  <c:v>57588.1554430868</c:v>
                </c:pt>
                <c:pt idx="26">
                  <c:v>125929.029519826</c:v>
                </c:pt>
                <c:pt idx="27">
                  <c:v>34562.6254353928</c:v>
                </c:pt>
                <c:pt idx="28">
                  <c:v>34041.9065295411</c:v>
                </c:pt>
                <c:pt idx="29">
                  <c:v>31282.0464746654</c:v>
                </c:pt>
                <c:pt idx="30">
                  <c:v>202844.67299326</c:v>
                </c:pt>
                <c:pt idx="31">
                  <c:v>51131.5970144691</c:v>
                </c:pt>
                <c:pt idx="32">
                  <c:v>66116.0678273653</c:v>
                </c:pt>
                <c:pt idx="33">
                  <c:v>149936.677990628</c:v>
                </c:pt>
                <c:pt idx="34">
                  <c:v>309829.555704539</c:v>
                </c:pt>
              </c:numCache>
            </c:numRef>
          </c:xVal>
          <c:yVal>
            <c:numRef>
              <c:f>'RLM7- EMI'!$L$32:$L$66</c:f>
              <c:numCache>
                <c:formatCode>General</c:formatCode>
                <c:ptCount val="35"/>
                <c:pt idx="0">
                  <c:v>-19245.1165422542</c:v>
                </c:pt>
                <c:pt idx="1">
                  <c:v>9089.94886876294</c:v>
                </c:pt>
                <c:pt idx="2">
                  <c:v>-25629.1771141046</c:v>
                </c:pt>
                <c:pt idx="3">
                  <c:v>-12426.1206970259</c:v>
                </c:pt>
                <c:pt idx="4">
                  <c:v>-10386.7947073599</c:v>
                </c:pt>
                <c:pt idx="5">
                  <c:v>-16692.6600813791</c:v>
                </c:pt>
                <c:pt idx="6">
                  <c:v>-29140.5142913419</c:v>
                </c:pt>
                <c:pt idx="7">
                  <c:v>-23572.0320538303</c:v>
                </c:pt>
                <c:pt idx="8">
                  <c:v>-31325.5523717325</c:v>
                </c:pt>
                <c:pt idx="9">
                  <c:v>84827.9167995772</c:v>
                </c:pt>
                <c:pt idx="10">
                  <c:v>-47617.1679998649</c:v>
                </c:pt>
                <c:pt idx="11">
                  <c:v>80385.6610894306</c:v>
                </c:pt>
                <c:pt idx="12">
                  <c:v>674.786758898124</c:v>
                </c:pt>
                <c:pt idx="13">
                  <c:v>-3799.29407062878</c:v>
                </c:pt>
                <c:pt idx="14">
                  <c:v>14692.4042190935</c:v>
                </c:pt>
                <c:pt idx="15">
                  <c:v>-109038.348631152</c:v>
                </c:pt>
                <c:pt idx="16">
                  <c:v>-18799.2496958864</c:v>
                </c:pt>
                <c:pt idx="17">
                  <c:v>616.564871270457</c:v>
                </c:pt>
                <c:pt idx="18">
                  <c:v>8845.43725246722</c:v>
                </c:pt>
                <c:pt idx="19">
                  <c:v>-24338.4752032331</c:v>
                </c:pt>
                <c:pt idx="20">
                  <c:v>32906.5912525986</c:v>
                </c:pt>
                <c:pt idx="21">
                  <c:v>-22427.5864219611</c:v>
                </c:pt>
                <c:pt idx="22">
                  <c:v>-21662.9869512971</c:v>
                </c:pt>
                <c:pt idx="23">
                  <c:v>-26413.5160873518</c:v>
                </c:pt>
                <c:pt idx="24">
                  <c:v>116490.616741082</c:v>
                </c:pt>
                <c:pt idx="25">
                  <c:v>-17211.1554430868</c:v>
                </c:pt>
                <c:pt idx="26">
                  <c:v>68788.9704801736</c:v>
                </c:pt>
                <c:pt idx="27">
                  <c:v>9362.37456460723</c:v>
                </c:pt>
                <c:pt idx="28">
                  <c:v>-30171.906529541</c:v>
                </c:pt>
                <c:pt idx="29">
                  <c:v>-16369.0464746654</c:v>
                </c:pt>
                <c:pt idx="30">
                  <c:v>141030.32700674</c:v>
                </c:pt>
                <c:pt idx="31">
                  <c:v>4698.4029855309</c:v>
                </c:pt>
                <c:pt idx="32">
                  <c:v>50514.9321726347</c:v>
                </c:pt>
                <c:pt idx="33">
                  <c:v>-106011.677990628</c:v>
                </c:pt>
                <c:pt idx="34">
                  <c:v>-10646.5557045389</c:v>
                </c:pt>
              </c:numCache>
            </c:numRef>
          </c:yVal>
          <c:smooth val="0"/>
        </c:ser>
        <c:axId val="96288716"/>
        <c:axId val="22304486"/>
      </c:scatterChart>
      <c:valAx>
        <c:axId val="96288716"/>
        <c:scaling>
          <c:orientation val="minMax"/>
        </c:scaling>
        <c:delete val="0"/>
        <c:axPos val="b"/>
        <c:numFmt formatCode="General" sourceLinked="0"/>
        <c:majorTickMark val="none"/>
        <c:minorTickMark val="none"/>
        <c:tickLblPos val="nextTo"/>
        <c:spPr>
          <a:ln w="9360">
            <a:solidFill>
              <a:schemeClr val="dk1">
                <a:lumMod val="25000"/>
                <a:lumOff val="75000"/>
              </a:schemeClr>
            </a:solidFill>
            <a:round/>
          </a:ln>
        </c:spPr>
        <c:txPr>
          <a:bodyPr/>
          <a:lstStyle/>
          <a:p>
            <a:pPr>
              <a:defRPr sz="900" b="0" u="none" strike="noStrike">
                <a:solidFill>
                  <a:schemeClr val="tx1">
                    <a:lumMod val="65000"/>
                    <a:lumOff val="35000"/>
                  </a:schemeClr>
                </a:solidFill>
                <a:uFillTx/>
                <a:latin typeface="Calibri"/>
              </a:defRPr>
            </a:pPr>
          </a:p>
        </c:txPr>
        <c:crossAx val="22304486"/>
        <c:crosses val="autoZero"/>
        <c:crossBetween val="midCat"/>
      </c:valAx>
      <c:valAx>
        <c:axId val="22304486"/>
        <c:scaling>
          <c:orientation val="minMax"/>
          <c:max val="120000"/>
          <c:min val="-110000"/>
        </c:scaling>
        <c:delete val="0"/>
        <c:axPos val="l"/>
        <c:majorGridlines>
          <c:spPr>
            <a:ln w="9360">
              <a:solidFill>
                <a:schemeClr val="dk1">
                  <a:lumMod val="15000"/>
                  <a:lumOff val="85000"/>
                </a:schemeClr>
              </a:solidFill>
              <a:round/>
            </a:ln>
          </c:spPr>
        </c:majorGridlines>
        <c:numFmt formatCode="#,##0.00" sourceLinked="0"/>
        <c:majorTickMark val="none"/>
        <c:minorTickMark val="none"/>
        <c:tickLblPos val="nextTo"/>
        <c:spPr>
          <a:ln w="9360">
            <a:solidFill>
              <a:schemeClr val="dk1">
                <a:lumMod val="25000"/>
                <a:lumOff val="75000"/>
              </a:schemeClr>
            </a:solidFill>
            <a:round/>
          </a:ln>
        </c:spPr>
        <c:txPr>
          <a:bodyPr/>
          <a:lstStyle/>
          <a:p>
            <a:pPr>
              <a:defRPr sz="900" b="0" u="none" strike="noStrike">
                <a:solidFill>
                  <a:schemeClr val="tx1">
                    <a:lumMod val="65000"/>
                    <a:lumOff val="35000"/>
                  </a:schemeClr>
                </a:solidFill>
                <a:uFillTx/>
                <a:latin typeface="Calibri"/>
              </a:defRPr>
            </a:pPr>
          </a:p>
        </c:txPr>
        <c:crossAx val="96288716"/>
        <c:crosses val="autoZero"/>
        <c:crossBetween val="midCat"/>
        <c:majorUnit val="50000"/>
      </c:valAx>
      <c:spPr>
        <a:no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Calibri"/>
            </a:defRPr>
          </a:pPr>
        </a:p>
      </c:txPr>
    </c:legend>
    <c:plotVisOnly val="1"/>
    <c:dispBlanksAs val="gap"/>
  </c:chart>
  <c:spPr>
    <a:solidFill>
      <a:srgbClr val="FFFFFF"/>
    </a:solidFill>
    <a:ln w="9360">
      <a:solidFill>
        <a:schemeClr val="dk1">
          <a:lumMod val="15000"/>
          <a:lumOff val="85000"/>
        </a:schemeClr>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sz="1400" b="0" u="none" strike="noStrike">
                <a:solidFill>
                  <a:schemeClr val="tx1">
                    <a:lumMod val="65000"/>
                    <a:lumOff val="35000"/>
                  </a:schemeClr>
                </a:solidFill>
                <a:uFillTx/>
                <a:latin typeface="Calibri"/>
              </a:rPr>
              <a:t>Residui</a:t>
            </a:r>
          </a:p>
        </c:rich>
      </c:tx>
      <c:overlay val="0"/>
      <c:spPr>
        <a:noFill/>
        <a:ln w="0">
          <a:noFill/>
        </a:ln>
      </c:spPr>
    </c:title>
    <c:autoTitleDeleted val="0"/>
    <c:plotArea>
      <c:scatterChart>
        <c:scatterStyle val="lineMarker"/>
        <c:varyColors val="0"/>
        <c:ser>
          <c:idx val="0"/>
          <c:order val="0"/>
          <c:tx>
            <c:strRef>
              <c:f>'RLM4 - EMI'!$I$28</c:f>
              <c:strCache>
                <c:ptCount val="1"/>
                <c:pt idx="0">
                  <c:v>Residui</c:v>
                </c:pt>
              </c:strCache>
            </c:strRef>
          </c:tx>
          <c:spPr>
            <a:solidFill>
              <a:srgbClr val="4472C4"/>
            </a:solidFill>
            <a:ln w="25560">
              <a:noFill/>
            </a:ln>
          </c:spPr>
          <c:marker>
            <c:symbol val="circle"/>
            <c:size val="5"/>
            <c:spPr>
              <a:solidFill>
                <a:srgbClr val="4472C4"/>
              </a:solidFill>
            </c:spPr>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25560">
                  <a:noFill/>
                </a:ln>
              </c:spPr>
            </c:leaderLines>
            <c:extLst>
              <c:ext xmlns:c15="http://schemas.microsoft.com/office/drawing/2012/chart" uri="{CE6537A1-D6FC-4f65-9D91-7224C49458BB}">
                <c15:showLeaderLines val="1"/>
              </c:ext>
            </c:extLst>
          </c:dLbls>
          <c:xVal>
            <c:numRef>
              <c:f>'RLM4 - EMI'!$H$29:$H$63</c:f>
              <c:numCache>
                <c:formatCode>General</c:formatCode>
                <c:ptCount val="35"/>
                <c:pt idx="0">
                  <c:v>82140.0332232313</c:v>
                </c:pt>
                <c:pt idx="1">
                  <c:v>85614.2385390788</c:v>
                </c:pt>
                <c:pt idx="2">
                  <c:v>48391.634932473</c:v>
                </c:pt>
                <c:pt idx="3">
                  <c:v>32405.9959616618</c:v>
                </c:pt>
                <c:pt idx="4">
                  <c:v>26202.5335626931</c:v>
                </c:pt>
                <c:pt idx="5">
                  <c:v>34347.9809069297</c:v>
                </c:pt>
                <c:pt idx="6">
                  <c:v>74161.7426890905</c:v>
                </c:pt>
                <c:pt idx="7">
                  <c:v>30109.3196928014</c:v>
                </c:pt>
                <c:pt idx="8">
                  <c:v>46819.8613878963</c:v>
                </c:pt>
                <c:pt idx="9">
                  <c:v>212176.690866448</c:v>
                </c:pt>
                <c:pt idx="10">
                  <c:v>369988.664445804</c:v>
                </c:pt>
                <c:pt idx="11">
                  <c:v>22716.6130889186</c:v>
                </c:pt>
                <c:pt idx="12">
                  <c:v>32267.0114382235</c:v>
                </c:pt>
                <c:pt idx="13">
                  <c:v>21873.0508662941</c:v>
                </c:pt>
                <c:pt idx="14">
                  <c:v>66545.5257669048</c:v>
                </c:pt>
                <c:pt idx="15">
                  <c:v>247000.438256514</c:v>
                </c:pt>
                <c:pt idx="16">
                  <c:v>30415.2273400482</c:v>
                </c:pt>
                <c:pt idx="17">
                  <c:v>40727.958507317</c:v>
                </c:pt>
                <c:pt idx="18">
                  <c:v>37074.6566584286</c:v>
                </c:pt>
                <c:pt idx="19">
                  <c:v>30232.3957666302</c:v>
                </c:pt>
                <c:pt idx="20">
                  <c:v>12886.0428274369</c:v>
                </c:pt>
                <c:pt idx="21">
                  <c:v>124695.502688409</c:v>
                </c:pt>
                <c:pt idx="22">
                  <c:v>18400.3806636002</c:v>
                </c:pt>
                <c:pt idx="23">
                  <c:v>67834.47340957</c:v>
                </c:pt>
                <c:pt idx="24">
                  <c:v>136544.435120337</c:v>
                </c:pt>
                <c:pt idx="25">
                  <c:v>51232.3065813258</c:v>
                </c:pt>
                <c:pt idx="26">
                  <c:v>126563.355135411</c:v>
                </c:pt>
                <c:pt idx="27">
                  <c:v>35572.5304211502</c:v>
                </c:pt>
                <c:pt idx="28">
                  <c:v>27547.7751929756</c:v>
                </c:pt>
                <c:pt idx="29">
                  <c:v>25380.1582942047</c:v>
                </c:pt>
                <c:pt idx="30">
                  <c:v>220226.343756431</c:v>
                </c:pt>
                <c:pt idx="31">
                  <c:v>50328.9279066175</c:v>
                </c:pt>
                <c:pt idx="32">
                  <c:v>86895.0688771397</c:v>
                </c:pt>
                <c:pt idx="33">
                  <c:v>173215.857065741</c:v>
                </c:pt>
                <c:pt idx="34">
                  <c:v>298996.268162262</c:v>
                </c:pt>
              </c:numCache>
            </c:numRef>
          </c:xVal>
          <c:yVal>
            <c:numRef>
              <c:f>'RLM4 - EMI'!$I$29:$I$63</c:f>
              <c:numCache>
                <c:formatCode>General</c:formatCode>
                <c:ptCount val="35"/>
                <c:pt idx="0">
                  <c:v>-25451.0332232313</c:v>
                </c:pt>
                <c:pt idx="1">
                  <c:v>4179.76146092125</c:v>
                </c:pt>
                <c:pt idx="2">
                  <c:v>-18921.634932473</c:v>
                </c:pt>
                <c:pt idx="3">
                  <c:v>-2754.99596166176</c:v>
                </c:pt>
                <c:pt idx="4">
                  <c:v>-9019.53356269307</c:v>
                </c:pt>
                <c:pt idx="5">
                  <c:v>-8663.98090692971</c:v>
                </c:pt>
                <c:pt idx="6">
                  <c:v>-29536.7426890905</c:v>
                </c:pt>
                <c:pt idx="7">
                  <c:v>-17106.3196928014</c:v>
                </c:pt>
                <c:pt idx="8">
                  <c:v>-30514.8613878963</c:v>
                </c:pt>
                <c:pt idx="9">
                  <c:v>112340.309133552</c:v>
                </c:pt>
                <c:pt idx="10">
                  <c:v>-54106.6644458044</c:v>
                </c:pt>
                <c:pt idx="11">
                  <c:v>86634.3869110814</c:v>
                </c:pt>
                <c:pt idx="12">
                  <c:v>10957.9885617765</c:v>
                </c:pt>
                <c:pt idx="13">
                  <c:v>-17827.0508662941</c:v>
                </c:pt>
                <c:pt idx="14">
                  <c:v>614.474233095214</c:v>
                </c:pt>
                <c:pt idx="15">
                  <c:v>-100045.438256514</c:v>
                </c:pt>
                <c:pt idx="16">
                  <c:v>-10296.2273400482</c:v>
                </c:pt>
                <c:pt idx="17">
                  <c:v>9717.041492683</c:v>
                </c:pt>
                <c:pt idx="18">
                  <c:v>-24430.6566584286</c:v>
                </c:pt>
                <c:pt idx="19">
                  <c:v>-21977.3957666302</c:v>
                </c:pt>
                <c:pt idx="20">
                  <c:v>31038.9571725631</c:v>
                </c:pt>
                <c:pt idx="21">
                  <c:v>-12365.5026884089</c:v>
                </c:pt>
                <c:pt idx="22">
                  <c:v>-17384.3806636002</c:v>
                </c:pt>
                <c:pt idx="23">
                  <c:v>-38661.47340957</c:v>
                </c:pt>
                <c:pt idx="24">
                  <c:v>122292.564879663</c:v>
                </c:pt>
                <c:pt idx="25">
                  <c:v>-10855.3065813258</c:v>
                </c:pt>
                <c:pt idx="26">
                  <c:v>68154.644864589</c:v>
                </c:pt>
                <c:pt idx="27">
                  <c:v>8352.46957884981</c:v>
                </c:pt>
                <c:pt idx="28">
                  <c:v>-23677.7751929756</c:v>
                </c:pt>
                <c:pt idx="29">
                  <c:v>-10467.1582942047</c:v>
                </c:pt>
                <c:pt idx="30">
                  <c:v>123648.656243569</c:v>
                </c:pt>
                <c:pt idx="31">
                  <c:v>5501.07209338249</c:v>
                </c:pt>
                <c:pt idx="32">
                  <c:v>29735.9311228603</c:v>
                </c:pt>
                <c:pt idx="33">
                  <c:v>-129290.857065741</c:v>
                </c:pt>
                <c:pt idx="34">
                  <c:v>186.731837737898</c:v>
                </c:pt>
              </c:numCache>
            </c:numRef>
          </c:yVal>
          <c:smooth val="0"/>
        </c:ser>
        <c:axId val="3984614"/>
        <c:axId val="64269185"/>
      </c:scatterChart>
      <c:valAx>
        <c:axId val="3984614"/>
        <c:scaling>
          <c:orientation val="minMax"/>
        </c:scaling>
        <c:delete val="0"/>
        <c:axPos val="b"/>
        <c:majorGridlines>
          <c:spPr>
            <a:ln w="9360">
              <a:solidFill>
                <a:schemeClr val="dk1">
                  <a:lumMod val="15000"/>
                  <a:lumOff val="85000"/>
                </a:schemeClr>
              </a:solidFill>
              <a:round/>
            </a:ln>
          </c:spPr>
        </c:majorGridlines>
        <c:numFmt formatCode="General" sourceLinked="0"/>
        <c:majorTickMark val="none"/>
        <c:minorTickMark val="none"/>
        <c:tickLblPos val="nextTo"/>
        <c:spPr>
          <a:ln w="9360">
            <a:solidFill>
              <a:schemeClr val="dk1">
                <a:lumMod val="25000"/>
                <a:lumOff val="75000"/>
              </a:schemeClr>
            </a:solidFill>
            <a:round/>
          </a:ln>
        </c:spPr>
        <c:txPr>
          <a:bodyPr/>
          <a:lstStyle/>
          <a:p>
            <a:pPr>
              <a:defRPr sz="900" b="0" u="none" strike="noStrike">
                <a:solidFill>
                  <a:schemeClr val="tx1">
                    <a:lumMod val="65000"/>
                    <a:lumOff val="35000"/>
                  </a:schemeClr>
                </a:solidFill>
                <a:uFillTx/>
                <a:latin typeface="Calibri"/>
              </a:defRPr>
            </a:pPr>
          </a:p>
        </c:txPr>
        <c:crossAx val="64269185"/>
        <c:crosses val="autoZero"/>
        <c:crossBetween val="midCat"/>
      </c:valAx>
      <c:valAx>
        <c:axId val="64269185"/>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9360">
            <a:solidFill>
              <a:schemeClr val="dk1">
                <a:lumMod val="25000"/>
                <a:lumOff val="75000"/>
              </a:schemeClr>
            </a:solidFill>
            <a:round/>
          </a:ln>
        </c:spPr>
        <c:txPr>
          <a:bodyPr/>
          <a:lstStyle/>
          <a:p>
            <a:pPr>
              <a:defRPr sz="900" b="0" u="none" strike="noStrike">
                <a:solidFill>
                  <a:schemeClr val="tx1">
                    <a:lumMod val="65000"/>
                    <a:lumOff val="35000"/>
                  </a:schemeClr>
                </a:solidFill>
                <a:uFillTx/>
                <a:latin typeface="Calibri"/>
              </a:defRPr>
            </a:pPr>
          </a:p>
        </c:txPr>
        <c:crossAx val="3984614"/>
        <c:crosses val="autoZero"/>
        <c:crossBetween val="midCat"/>
      </c:valAx>
      <c:spPr>
        <a:no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Calibri"/>
            </a:defRPr>
          </a:pPr>
        </a:p>
      </c:txPr>
    </c:legend>
    <c:plotVisOnly val="1"/>
    <c:dispBlanksAs val="gap"/>
  </c:chart>
  <c:spPr>
    <a:solidFill>
      <a:srgbClr val="FFFFFF"/>
    </a:solidFill>
    <a:ln w="9360">
      <a:solidFill>
        <a:schemeClr val="dk1">
          <a:lumMod val="15000"/>
          <a:lumOff val="85000"/>
        </a:schemeClr>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sz="1400" b="0" u="none" strike="noStrike">
                <a:solidFill>
                  <a:schemeClr val="tx1">
                    <a:lumMod val="65000"/>
                    <a:lumOff val="35000"/>
                  </a:schemeClr>
                </a:solidFill>
                <a:uFillTx/>
                <a:latin typeface="Calibri"/>
              </a:rPr>
              <a:t>Residui</a:t>
            </a:r>
          </a:p>
        </c:rich>
      </c:tx>
      <c:overlay val="0"/>
      <c:spPr>
        <a:noFill/>
        <a:ln w="0">
          <a:noFill/>
        </a:ln>
      </c:spPr>
    </c:title>
    <c:autoTitleDeleted val="0"/>
    <c:plotArea>
      <c:scatterChart>
        <c:scatterStyle val="lineMarker"/>
        <c:varyColors val="0"/>
        <c:ser>
          <c:idx val="0"/>
          <c:order val="0"/>
          <c:tx>
            <c:strRef>
              <c:f>'RLM2- EMI'!$I$25</c:f>
              <c:strCache>
                <c:ptCount val="1"/>
                <c:pt idx="0">
                  <c:v>Residui</c:v>
                </c:pt>
              </c:strCache>
            </c:strRef>
          </c:tx>
          <c:spPr>
            <a:solidFill>
              <a:srgbClr val="4472C4"/>
            </a:solidFill>
            <a:ln w="25560">
              <a:noFill/>
            </a:ln>
          </c:spPr>
          <c:marker>
            <c:symbol val="circle"/>
            <c:size val="5"/>
            <c:spPr>
              <a:solidFill>
                <a:srgbClr val="4472C4"/>
              </a:solidFill>
            </c:spPr>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25560">
                  <a:noFill/>
                </a:ln>
              </c:spPr>
            </c:leaderLines>
            <c:extLst>
              <c:ext xmlns:c15="http://schemas.microsoft.com/office/drawing/2012/chart" uri="{CE6537A1-D6FC-4f65-9D91-7224C49458BB}">
                <c15:showLeaderLines val="1"/>
              </c:ext>
            </c:extLst>
          </c:dLbls>
          <c:xVal>
            <c:numRef>
              <c:f>'RLM2- EMI'!$H$26:$H$60</c:f>
              <c:numCache>
                <c:formatCode>General</c:formatCode>
                <c:ptCount val="35"/>
                <c:pt idx="0">
                  <c:v>75702.78718421</c:v>
                </c:pt>
                <c:pt idx="1">
                  <c:v>78996.5843915263</c:v>
                </c:pt>
                <c:pt idx="2">
                  <c:v>56786.2095221668</c:v>
                </c:pt>
                <c:pt idx="3">
                  <c:v>36496.0362996174</c:v>
                </c:pt>
                <c:pt idx="4">
                  <c:v>30527.5985148503</c:v>
                </c:pt>
                <c:pt idx="5">
                  <c:v>43256.6175700396</c:v>
                </c:pt>
                <c:pt idx="6">
                  <c:v>52166.3867436467</c:v>
                </c:pt>
                <c:pt idx="7">
                  <c:v>31519.5524444979</c:v>
                </c:pt>
                <c:pt idx="8">
                  <c:v>39532.1756642068</c:v>
                </c:pt>
                <c:pt idx="9">
                  <c:v>203714.953983023</c:v>
                </c:pt>
                <c:pt idx="10">
                  <c:v>384885.139714846</c:v>
                </c:pt>
                <c:pt idx="11">
                  <c:v>40409.174400272</c:v>
                </c:pt>
                <c:pt idx="12">
                  <c:v>38990.5009656392</c:v>
                </c:pt>
                <c:pt idx="13">
                  <c:v>38990.5009656392</c:v>
                </c:pt>
                <c:pt idx="14">
                  <c:v>53915.7264338817</c:v>
                </c:pt>
                <c:pt idx="15">
                  <c:v>231499.400172671</c:v>
                </c:pt>
                <c:pt idx="16">
                  <c:v>32437.439082638</c:v>
                </c:pt>
                <c:pt idx="17">
                  <c:v>39658.148991841</c:v>
                </c:pt>
                <c:pt idx="18">
                  <c:v>31734.2070956339</c:v>
                </c:pt>
                <c:pt idx="19">
                  <c:v>30443.9207357645</c:v>
                </c:pt>
                <c:pt idx="20">
                  <c:v>35633.5951148796</c:v>
                </c:pt>
                <c:pt idx="21">
                  <c:v>86587.624288757</c:v>
                </c:pt>
                <c:pt idx="22">
                  <c:v>32806.5219236467</c:v>
                </c:pt>
                <c:pt idx="23">
                  <c:v>45717.9920407918</c:v>
                </c:pt>
                <c:pt idx="24">
                  <c:v>144614.418161453</c:v>
                </c:pt>
                <c:pt idx="25">
                  <c:v>56371.6635439096</c:v>
                </c:pt>
                <c:pt idx="26">
                  <c:v>128394.553410576</c:v>
                </c:pt>
                <c:pt idx="27">
                  <c:v>57042.1198188273</c:v>
                </c:pt>
                <c:pt idx="28">
                  <c:v>34465.7409359177</c:v>
                </c:pt>
                <c:pt idx="29">
                  <c:v>28341.7956869257</c:v>
                </c:pt>
                <c:pt idx="30">
                  <c:v>212392.017765145</c:v>
                </c:pt>
                <c:pt idx="31">
                  <c:v>39934.9482955223</c:v>
                </c:pt>
                <c:pt idx="32">
                  <c:v>73102.3503314794</c:v>
                </c:pt>
                <c:pt idx="33">
                  <c:v>200113.891762947</c:v>
                </c:pt>
                <c:pt idx="34">
                  <c:v>292265.697460887</c:v>
                </c:pt>
              </c:numCache>
            </c:numRef>
          </c:xVal>
          <c:yVal>
            <c:numRef>
              <c:f>'RLM2- EMI'!$I$26:$I$60</c:f>
              <c:numCache>
                <c:formatCode>General</c:formatCode>
                <c:ptCount val="35"/>
                <c:pt idx="0">
                  <c:v>-19013.78718421</c:v>
                </c:pt>
                <c:pt idx="1">
                  <c:v>10797.4156084737</c:v>
                </c:pt>
                <c:pt idx="2">
                  <c:v>-27316.2095221668</c:v>
                </c:pt>
                <c:pt idx="3">
                  <c:v>-6845.03629961735</c:v>
                </c:pt>
                <c:pt idx="4">
                  <c:v>-13344.5985148503</c:v>
                </c:pt>
                <c:pt idx="5">
                  <c:v>-17572.6175700396</c:v>
                </c:pt>
                <c:pt idx="6">
                  <c:v>-7541.38674364674</c:v>
                </c:pt>
                <c:pt idx="7">
                  <c:v>-18516.5524444979</c:v>
                </c:pt>
                <c:pt idx="8">
                  <c:v>-23227.1756642068</c:v>
                </c:pt>
                <c:pt idx="9">
                  <c:v>120802.046016977</c:v>
                </c:pt>
                <c:pt idx="10">
                  <c:v>-69003.1397148464</c:v>
                </c:pt>
                <c:pt idx="11">
                  <c:v>68941.825599728</c:v>
                </c:pt>
                <c:pt idx="12">
                  <c:v>4234.49903436083</c:v>
                </c:pt>
                <c:pt idx="13">
                  <c:v>-23027.5095473617</c:v>
                </c:pt>
                <c:pt idx="14">
                  <c:v>13244.2735661183</c:v>
                </c:pt>
                <c:pt idx="15">
                  <c:v>-84544.4001726715</c:v>
                </c:pt>
                <c:pt idx="16">
                  <c:v>-12318.439082638</c:v>
                </c:pt>
                <c:pt idx="17">
                  <c:v>10786.8510081591</c:v>
                </c:pt>
                <c:pt idx="18">
                  <c:v>-19090.2070956339</c:v>
                </c:pt>
                <c:pt idx="19">
                  <c:v>-22188.9207357645</c:v>
                </c:pt>
                <c:pt idx="20">
                  <c:v>8291.40488512044</c:v>
                </c:pt>
                <c:pt idx="21">
                  <c:v>25742.375711243</c:v>
                </c:pt>
                <c:pt idx="22">
                  <c:v>-31790.5219236467</c:v>
                </c:pt>
                <c:pt idx="23">
                  <c:v>-16544.9920407918</c:v>
                </c:pt>
                <c:pt idx="24">
                  <c:v>114222.581838547</c:v>
                </c:pt>
                <c:pt idx="25">
                  <c:v>-15994.6635439096</c:v>
                </c:pt>
                <c:pt idx="26">
                  <c:v>66323.4465894239</c:v>
                </c:pt>
                <c:pt idx="27">
                  <c:v>-13117.1198188273</c:v>
                </c:pt>
                <c:pt idx="28">
                  <c:v>-30595.7409359177</c:v>
                </c:pt>
                <c:pt idx="29">
                  <c:v>-13428.7956869257</c:v>
                </c:pt>
                <c:pt idx="30">
                  <c:v>131482.982234855</c:v>
                </c:pt>
                <c:pt idx="31">
                  <c:v>15895.0517044777</c:v>
                </c:pt>
                <c:pt idx="32">
                  <c:v>43528.6496685206</c:v>
                </c:pt>
                <c:pt idx="33">
                  <c:v>-156188.891762947</c:v>
                </c:pt>
                <c:pt idx="34">
                  <c:v>6917.30253911333</c:v>
                </c:pt>
              </c:numCache>
            </c:numRef>
          </c:yVal>
          <c:smooth val="0"/>
        </c:ser>
        <c:axId val="77776303"/>
        <c:axId val="51340118"/>
      </c:scatterChart>
      <c:valAx>
        <c:axId val="77776303"/>
        <c:scaling>
          <c:orientation val="minMax"/>
        </c:scaling>
        <c:delete val="0"/>
        <c:axPos val="b"/>
        <c:majorGridlines>
          <c:spPr>
            <a:ln w="9360">
              <a:solidFill>
                <a:schemeClr val="dk1">
                  <a:lumMod val="15000"/>
                  <a:lumOff val="85000"/>
                </a:schemeClr>
              </a:solidFill>
              <a:round/>
            </a:ln>
          </c:spPr>
        </c:majorGridlines>
        <c:numFmt formatCode="General" sourceLinked="0"/>
        <c:majorTickMark val="none"/>
        <c:minorTickMark val="none"/>
        <c:tickLblPos val="nextTo"/>
        <c:spPr>
          <a:ln w="9360">
            <a:solidFill>
              <a:schemeClr val="dk1">
                <a:lumMod val="25000"/>
                <a:lumOff val="75000"/>
              </a:schemeClr>
            </a:solidFill>
            <a:round/>
          </a:ln>
        </c:spPr>
        <c:txPr>
          <a:bodyPr/>
          <a:lstStyle/>
          <a:p>
            <a:pPr>
              <a:defRPr sz="900" b="0" u="none" strike="noStrike">
                <a:solidFill>
                  <a:schemeClr val="tx1">
                    <a:lumMod val="65000"/>
                    <a:lumOff val="35000"/>
                  </a:schemeClr>
                </a:solidFill>
                <a:uFillTx/>
                <a:latin typeface="Calibri"/>
              </a:defRPr>
            </a:pPr>
          </a:p>
        </c:txPr>
        <c:crossAx val="51340118"/>
        <c:crosses val="autoZero"/>
        <c:crossBetween val="midCat"/>
      </c:valAx>
      <c:valAx>
        <c:axId val="51340118"/>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9360">
            <a:solidFill>
              <a:schemeClr val="dk1">
                <a:lumMod val="25000"/>
                <a:lumOff val="75000"/>
              </a:schemeClr>
            </a:solidFill>
            <a:round/>
          </a:ln>
        </c:spPr>
        <c:txPr>
          <a:bodyPr/>
          <a:lstStyle/>
          <a:p>
            <a:pPr>
              <a:defRPr sz="900" b="0" u="none" strike="noStrike">
                <a:solidFill>
                  <a:schemeClr val="tx1">
                    <a:lumMod val="65000"/>
                    <a:lumOff val="35000"/>
                  </a:schemeClr>
                </a:solidFill>
                <a:uFillTx/>
                <a:latin typeface="Calibri"/>
              </a:defRPr>
            </a:pPr>
          </a:p>
        </c:txPr>
        <c:crossAx val="77776303"/>
        <c:crosses val="autoZero"/>
        <c:crossBetween val="midCat"/>
      </c:valAx>
      <c:spPr>
        <a:no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Calibri"/>
            </a:defRPr>
          </a:pPr>
        </a:p>
      </c:txPr>
    </c:legend>
    <c:plotVisOnly val="1"/>
    <c:dispBlanksAs val="gap"/>
  </c:chart>
  <c:spPr>
    <a:solidFill>
      <a:srgbClr val="FFFFFF"/>
    </a:solidFill>
    <a:ln w="9360">
      <a:solidFill>
        <a:schemeClr val="dk1">
          <a:lumMod val="15000"/>
          <a:lumOff val="85000"/>
        </a:schemeClr>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3.xml><?xml version="1.0" encoding="utf-8"?>
<cs:colorStyle xmlns:cs="http://schemas.microsoft.com/office/drawing/2012/chartStyle" xmlns:a="http://schemas.openxmlformats.org/drawingml/2006/main" meth="cycle" id="10">
  <a:schemeClr val="accent1"/>
</cs:colorStyle>
</file>

<file path=xl/charts/colors24.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4.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5.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6.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7.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8.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9.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0.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1.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2.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5" Type="http://schemas.openxmlformats.org/officeDocument/2006/relationships/chart" Target="../charts/chart15.xml"/><Relationship Id="rId16" Type="http://schemas.openxmlformats.org/officeDocument/2006/relationships/chart" Target="../charts/chart16.xml"/><Relationship Id="rId17" Type="http://schemas.openxmlformats.org/officeDocument/2006/relationships/chart" Target="../charts/chart17.xml"/><Relationship Id="rId18" Type="http://schemas.openxmlformats.org/officeDocument/2006/relationships/chart" Target="../charts/chart18.xml"/><Relationship Id="rId19" Type="http://schemas.openxmlformats.org/officeDocument/2006/relationships/chart" Target="../charts/chart19.xml"/><Relationship Id="rId20" Type="http://schemas.openxmlformats.org/officeDocument/2006/relationships/chart" Target="../charts/chart20.xml"/><Relationship Id="rId21" Type="http://schemas.openxmlformats.org/officeDocument/2006/relationships/chart" Target="../charts/chart21.xml"/>
</Relationships>
</file>

<file path=xl/drawings/_rels/drawing4.xml.rels><?xml version="1.0" encoding="UTF-8"?>
<Relationships xmlns="http://schemas.openxmlformats.org/package/2006/relationships"><Relationship Id="rId1" Type="http://schemas.openxmlformats.org/officeDocument/2006/relationships/chart" Target="../charts/chart22.xml"/>
</Relationships>
</file>

<file path=xl/drawings/_rels/drawing5.xml.rels><?xml version="1.0" encoding="UTF-8"?>
<Relationships xmlns="http://schemas.openxmlformats.org/package/2006/relationships"><Relationship Id="rId1" Type="http://schemas.openxmlformats.org/officeDocument/2006/relationships/chart" Target="../charts/chart23.xml"/>
</Relationships>
</file>

<file path=xl/drawings/_rels/drawing6.xml.rels><?xml version="1.0" encoding="UTF-8"?>
<Relationships xmlns="http://schemas.openxmlformats.org/package/2006/relationships"><Relationship Id="rId1" Type="http://schemas.openxmlformats.org/officeDocument/2006/relationships/chart" Target="../charts/chart2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200160</xdr:colOff>
      <xdr:row>7</xdr:row>
      <xdr:rowOff>133200</xdr:rowOff>
    </xdr:from>
    <xdr:to>
      <xdr:col>16</xdr:col>
      <xdr:colOff>266400</xdr:colOff>
      <xdr:row>24</xdr:row>
      <xdr:rowOff>9000</xdr:rowOff>
    </xdr:to>
    <xdr:sp>
      <xdr:nvSpPr>
        <xdr:cNvPr id="1" name="CasellaDiTesto 1"/>
        <xdr:cNvSpPr/>
      </xdr:nvSpPr>
      <xdr:spPr>
        <a:xfrm>
          <a:off x="200160" y="1484640"/>
          <a:ext cx="12382200" cy="3114000"/>
        </a:xfrm>
        <a:prstGeom prst="rect">
          <a:avLst/>
        </a:prstGeom>
        <a:solidFill>
          <a:srgbClr val="FFE7A1"/>
        </a:solidFill>
        <a:ln w="9525">
          <a:solidFill>
            <a:srgbClr val="FFFFFF">
              <a:shade val="50000"/>
            </a:srgbClr>
          </a:solidFill>
          <a:round/>
        </a:ln>
      </xdr:spPr>
      <xdr:style>
        <a:lnRef idx="0"/>
        <a:fillRef idx="0"/>
        <a:effectRef idx="0"/>
        <a:fontRef idx="minor"/>
      </xdr:style>
      <xdr:txBody>
        <a:bodyPr horzOverflow="clip" vertOverflow="clip" anchor="t">
          <a:noAutofit/>
        </a:bodyPr>
        <a:p>
          <a:pPr>
            <a:lnSpc>
              <a:spcPct val="100000"/>
            </a:lnSpc>
            <a:tabLst>
              <a:tab pos="0" algn="l"/>
            </a:tabLst>
          </a:pPr>
          <a:endParaRPr lang="it-IT" sz="1100" b="0" u="none" strike="noStrike">
            <a:effectLst/>
            <a:uFillTx/>
            <a:latin typeface="Noto Serif"/>
          </a:endParaRPr>
        </a:p>
        <a:p>
          <a:pPr>
            <a:lnSpc>
              <a:spcPct val="100000"/>
            </a:lnSpc>
            <a:tabLst>
              <a:tab pos="0" algn="l"/>
            </a:tabLst>
          </a:pPr>
          <a:r>
            <a:rPr lang="en-US" sz="1100" b="0" u="none" strike="noStrike">
              <a:effectLst/>
              <a:uFillTx/>
              <a:latin typeface="Calibri"/>
              <a:ea typeface="Calibri"/>
            </a:rPr>
            <a:t>Il debito pubblico è l’ammontare totale delle obbligazioni finanziarie contratte dallo Stato e dalle altre amministrazioni pubbliche (enti locali, enti di previdenza sociale) per coprire il disavanzo tra le entrate e le spese pubbliche. Questo debito può essere interno, se i creditori sono residenti nel Paese, o esterno, se i creditori sono stranieri</a:t>
          </a:r>
          <a:r>
            <a:rPr lang="en-US" sz="1100" b="0" u="none" strike="noStrike">
              <a:solidFill>
                <a:srgbClr val="000000"/>
              </a:solidFill>
              <a:effectLst/>
              <a:uFillTx/>
              <a:latin typeface="Calibri"/>
              <a:ea typeface="Calibri"/>
            </a:rPr>
            <a:t>;</a:t>
          </a:r>
          <a:r>
            <a:rPr lang="en-US" sz="1100" b="0" u="none" strike="noStrike">
              <a:effectLst/>
              <a:uFillTx/>
              <a:latin typeface="Calibri"/>
              <a:ea typeface="Calibri"/>
            </a:rPr>
            <a:t> la periodicità trimestrale consente di catturare variazioni stagionali </a:t>
          </a:r>
          <a:r>
            <a:rPr lang="en-US" sz="1100" b="0" u="none" strike="noStrike">
              <a:solidFill>
                <a:srgbClr val="000000"/>
              </a:solidFill>
              <a:effectLst/>
              <a:uFillTx/>
              <a:latin typeface="Calibri"/>
              <a:ea typeface="Calibri"/>
            </a:rPr>
            <a:t>e cioè quei cambiamenti periodici e ricorrenti in determinati periodi di tempo dell'anno inlfuenzati da fattori legati al calendario econmico e amministrativo, ciò consente  </a:t>
          </a:r>
          <a:r>
            <a:rPr lang="en-US" sz="1100" b="0" u="none" strike="noStrike">
              <a:effectLst/>
              <a:uFillTx/>
              <a:latin typeface="Calibri"/>
              <a:ea typeface="Calibri"/>
            </a:rPr>
            <a:t>rispondere rapidamente a dinamiche economiche in evoluzione.</a:t>
          </a:r>
          <a:endParaRPr lang="it-IT" sz="1100" b="0" u="none" strike="noStrike">
            <a:effectLst/>
            <a:uFillTx/>
            <a:latin typeface="Noto Serif"/>
          </a:endParaRPr>
        </a:p>
        <a:p>
          <a:pPr>
            <a:lnSpc>
              <a:spcPct val="100000"/>
            </a:lnSpc>
            <a:tabLst>
              <a:tab pos="0" algn="l"/>
            </a:tabLst>
          </a:pPr>
          <a:r>
            <a:rPr lang="en-US" sz="1100" b="0" u="none" strike="noStrike">
              <a:effectLst/>
              <a:uFillTx/>
              <a:latin typeface="Calibri"/>
              <a:ea typeface="Calibri"/>
            </a:rPr>
            <a:t>Il debito nasce quando le entrate pubbliche non sono sufficienti a coprire le spese pubbliche (per esempio sanità, istruzione, infrastrutture e pensioni). Questo genera un disavanzo primario, che viene finanziato emettendo titoli di Stato o accendendo prestiti</a:t>
          </a:r>
          <a:r>
            <a:rPr lang="en-US" sz="1100" b="0" u="none" strike="noStrike">
              <a:solidFill>
                <a:srgbClr val="000000"/>
              </a:solidFill>
              <a:effectLst/>
              <a:uFillTx/>
              <a:latin typeface="Calibri"/>
              <a:ea typeface="Calibri"/>
            </a:rPr>
            <a:t> (Bot, Btp, Cct ecc) e Prestiti diretti da istituzioni finanziarie o sovranazionali (come la Banca Mondiale o la BCE).</a:t>
          </a:r>
          <a:endParaRPr lang="it-IT" sz="1100" b="0" u="none" strike="noStrike">
            <a:effectLst/>
            <a:uFillTx/>
            <a:latin typeface="Noto Serif"/>
          </a:endParaRPr>
        </a:p>
        <a:p>
          <a:pPr>
            <a:lnSpc>
              <a:spcPct val="100000"/>
            </a:lnSpc>
            <a:tabLst>
              <a:tab pos="0" algn="l"/>
            </a:tabLst>
          </a:pPr>
          <a:endParaRPr lang="it-IT" sz="1100" b="0" u="none" strike="noStrike">
            <a:effectLst/>
            <a:uFillTx/>
            <a:latin typeface="Noto Serif"/>
          </a:endParaRPr>
        </a:p>
        <a:p>
          <a:pPr>
            <a:lnSpc>
              <a:spcPct val="100000"/>
            </a:lnSpc>
            <a:tabLst>
              <a:tab pos="0" algn="l"/>
            </a:tabLst>
          </a:pPr>
          <a:endParaRPr lang="it-IT" sz="1100" b="0" u="none" strike="noStrike">
            <a:effectLst/>
            <a:uFillTx/>
            <a:latin typeface="Noto Serif"/>
          </a:endParaRPr>
        </a:p>
        <a:p>
          <a:pPr>
            <a:lnSpc>
              <a:spcPct val="100000"/>
            </a:lnSpc>
            <a:tabLst>
              <a:tab pos="0" algn="l"/>
            </a:tabLst>
          </a:pPr>
          <a:r>
            <a:rPr lang="en-US" sz="1100" b="0" u="none" strike="noStrike">
              <a:solidFill>
                <a:srgbClr val="000000"/>
              </a:solidFill>
              <a:effectLst/>
              <a:uFillTx/>
              <a:latin typeface="Calibri"/>
              <a:ea typeface="Calibri"/>
            </a:rPr>
            <a:t>Gli anni 2007-2010 rappresentano una fase critica per l'economia mondiale, segnata dalla crisi finanziaria iniziata con il crollo dei mutui subprime negli Stati Uniti e successivamente amplificata dal fallimento della Lehman Brothers nel 2008. La crisi ha avuto un impatto devastante sulle economie avanzate e ha reso il debito pubblico uno degli indicatori centrali per valutare la capacità di un paese di affrontare shock economici, sostenere la propria economia e mantenere la fiducia dei mercati finanziari.</a:t>
          </a:r>
          <a:endParaRPr lang="it-IT" sz="1100" b="0" u="none" strike="noStrike">
            <a:effectLst/>
            <a:uFillTx/>
            <a:latin typeface="Noto Serif"/>
          </a:endParaRPr>
        </a:p>
        <a:p>
          <a:pPr>
            <a:lnSpc>
              <a:spcPct val="100000"/>
            </a:lnSpc>
            <a:tabLst>
              <a:tab pos="0" algn="l"/>
            </a:tabLst>
          </a:pPr>
          <a:endParaRPr lang="it-IT" sz="1100" b="0" u="none" strike="noStrike">
            <a:effectLst/>
            <a:uFillTx/>
            <a:latin typeface="Noto Serif"/>
          </a:endParaRPr>
        </a:p>
        <a:p>
          <a:pPr>
            <a:lnSpc>
              <a:spcPct val="100000"/>
            </a:lnSpc>
            <a:tabLst>
              <a:tab pos="0" algn="l"/>
            </a:tabLst>
          </a:pPr>
          <a:r>
            <a:rPr lang="en-US" sz="1100" b="0" u="none" strike="noStrike">
              <a:solidFill>
                <a:srgbClr val="000000"/>
              </a:solidFill>
              <a:effectLst/>
              <a:uFillTx/>
              <a:latin typeface="Calibri"/>
              <a:ea typeface="Calibri"/>
            </a:rPr>
            <a:t>L’analisi del debito pubblico espresso in euro tra il 2007 e il 2010 mostra come la crisi abbia avuto un impatto asimmetrico sui paesi europei. I dati evidenziano la necessità di rafforzare il coordinamento fiscale e di considerare anche i livelli assoluti di debito per comprendere la sostenibilità economica. </a:t>
          </a:r>
          <a:endParaRPr lang="it-IT" sz="1100" b="0" u="none" strike="noStrike">
            <a:effectLst/>
            <a:uFillTx/>
            <a:latin typeface="Noto Serif"/>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254160</xdr:colOff>
      <xdr:row>11</xdr:row>
      <xdr:rowOff>16920</xdr:rowOff>
    </xdr:from>
    <xdr:to>
      <xdr:col>13</xdr:col>
      <xdr:colOff>253800</xdr:colOff>
      <xdr:row>35</xdr:row>
      <xdr:rowOff>45000</xdr:rowOff>
    </xdr:to>
    <xdr:graphicFrame>
      <xdr:nvGraphicFramePr>
        <xdr:cNvPr id="2" name="Chart 1"/>
        <xdr:cNvGraphicFramePr/>
      </xdr:nvGraphicFramePr>
      <xdr:xfrm>
        <a:off x="16256160" y="2112480"/>
        <a:ext cx="7486200" cy="4619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237960</xdr:colOff>
      <xdr:row>98</xdr:row>
      <xdr:rowOff>114480</xdr:rowOff>
    </xdr:from>
    <xdr:to>
      <xdr:col>18</xdr:col>
      <xdr:colOff>294840</xdr:colOff>
      <xdr:row>112</xdr:row>
      <xdr:rowOff>47520</xdr:rowOff>
    </xdr:to>
    <xdr:graphicFrame>
      <xdr:nvGraphicFramePr>
        <xdr:cNvPr id="3" name="Grafico 2"/>
        <xdr:cNvGraphicFramePr/>
      </xdr:nvGraphicFramePr>
      <xdr:xfrm>
        <a:off x="24835320" y="18838080"/>
        <a:ext cx="47318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273960</xdr:colOff>
      <xdr:row>127</xdr:row>
      <xdr:rowOff>142560</xdr:rowOff>
    </xdr:from>
    <xdr:to>
      <xdr:col>18</xdr:col>
      <xdr:colOff>663480</xdr:colOff>
      <xdr:row>142</xdr:row>
      <xdr:rowOff>154440</xdr:rowOff>
    </xdr:to>
    <xdr:graphicFrame>
      <xdr:nvGraphicFramePr>
        <xdr:cNvPr id="4" name="Grafico 37"/>
        <xdr:cNvGraphicFramePr/>
      </xdr:nvGraphicFramePr>
      <xdr:xfrm>
        <a:off x="24871320" y="24508080"/>
        <a:ext cx="5064480" cy="29037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228240</xdr:colOff>
      <xdr:row>183</xdr:row>
      <xdr:rowOff>71280</xdr:rowOff>
    </xdr:from>
    <xdr:to>
      <xdr:col>18</xdr:col>
      <xdr:colOff>618840</xdr:colOff>
      <xdr:row>198</xdr:row>
      <xdr:rowOff>33840</xdr:rowOff>
    </xdr:to>
    <xdr:graphicFrame>
      <xdr:nvGraphicFramePr>
        <xdr:cNvPr id="5" name="Grafico 39"/>
        <xdr:cNvGraphicFramePr/>
      </xdr:nvGraphicFramePr>
      <xdr:xfrm>
        <a:off x="24825600" y="35307360"/>
        <a:ext cx="5065560" cy="29624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285840</xdr:colOff>
      <xdr:row>210</xdr:row>
      <xdr:rowOff>152280</xdr:rowOff>
    </xdr:from>
    <xdr:to>
      <xdr:col>18</xdr:col>
      <xdr:colOff>475920</xdr:colOff>
      <xdr:row>225</xdr:row>
      <xdr:rowOff>171000</xdr:rowOff>
    </xdr:to>
    <xdr:graphicFrame>
      <xdr:nvGraphicFramePr>
        <xdr:cNvPr id="6" name="Grafico 40"/>
        <xdr:cNvGraphicFramePr/>
      </xdr:nvGraphicFramePr>
      <xdr:xfrm>
        <a:off x="24883200" y="40691880"/>
        <a:ext cx="4865040" cy="29487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235440</xdr:colOff>
      <xdr:row>239</xdr:row>
      <xdr:rowOff>43200</xdr:rowOff>
    </xdr:from>
    <xdr:to>
      <xdr:col>18</xdr:col>
      <xdr:colOff>626040</xdr:colOff>
      <xdr:row>254</xdr:row>
      <xdr:rowOff>5760</xdr:rowOff>
    </xdr:to>
    <xdr:graphicFrame>
      <xdr:nvGraphicFramePr>
        <xdr:cNvPr id="7" name="Grafico 41"/>
        <xdr:cNvGraphicFramePr/>
      </xdr:nvGraphicFramePr>
      <xdr:xfrm>
        <a:off x="24832800" y="46197720"/>
        <a:ext cx="5065560" cy="28911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762120</xdr:colOff>
      <xdr:row>98</xdr:row>
      <xdr:rowOff>104760</xdr:rowOff>
    </xdr:from>
    <xdr:to>
      <xdr:col>26</xdr:col>
      <xdr:colOff>75960</xdr:colOff>
      <xdr:row>112</xdr:row>
      <xdr:rowOff>156960</xdr:rowOff>
    </xdr:to>
    <xdr:graphicFrame>
      <xdr:nvGraphicFramePr>
        <xdr:cNvPr id="8" name="Grafico 5"/>
        <xdr:cNvGraphicFramePr/>
      </xdr:nvGraphicFramePr>
      <xdr:xfrm>
        <a:off x="30034440" y="18828360"/>
        <a:ext cx="5316480" cy="281880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34</xdr:col>
      <xdr:colOff>542880</xdr:colOff>
      <xdr:row>98</xdr:row>
      <xdr:rowOff>76320</xdr:rowOff>
    </xdr:from>
    <xdr:to>
      <xdr:col>42</xdr:col>
      <xdr:colOff>171000</xdr:colOff>
      <xdr:row>113</xdr:row>
      <xdr:rowOff>52560</xdr:rowOff>
    </xdr:to>
    <xdr:graphicFrame>
      <xdr:nvGraphicFramePr>
        <xdr:cNvPr id="9" name="Grafico 7"/>
        <xdr:cNvGraphicFramePr/>
      </xdr:nvGraphicFramePr>
      <xdr:xfrm>
        <a:off x="41319360" y="18799920"/>
        <a:ext cx="5129640" cy="293328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26</xdr:col>
      <xdr:colOff>571680</xdr:colOff>
      <xdr:row>127</xdr:row>
      <xdr:rowOff>98280</xdr:rowOff>
    </xdr:from>
    <xdr:to>
      <xdr:col>34</xdr:col>
      <xdr:colOff>266400</xdr:colOff>
      <xdr:row>142</xdr:row>
      <xdr:rowOff>3600</xdr:rowOff>
    </xdr:to>
    <xdr:graphicFrame>
      <xdr:nvGraphicFramePr>
        <xdr:cNvPr id="10" name="Grafico 12"/>
        <xdr:cNvGraphicFramePr/>
      </xdr:nvGraphicFramePr>
      <xdr:xfrm>
        <a:off x="35846640" y="24463800"/>
        <a:ext cx="5196240" cy="279720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18</xdr:col>
      <xdr:colOff>974880</xdr:colOff>
      <xdr:row>127</xdr:row>
      <xdr:rowOff>136440</xdr:rowOff>
    </xdr:from>
    <xdr:to>
      <xdr:col>26</xdr:col>
      <xdr:colOff>288720</xdr:colOff>
      <xdr:row>143</xdr:row>
      <xdr:rowOff>6840</xdr:rowOff>
    </xdr:to>
    <xdr:graphicFrame>
      <xdr:nvGraphicFramePr>
        <xdr:cNvPr id="11" name="Grafico 13"/>
        <xdr:cNvGraphicFramePr/>
      </xdr:nvGraphicFramePr>
      <xdr:xfrm>
        <a:off x="30247200" y="24501960"/>
        <a:ext cx="5316480" cy="295272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19</xdr:col>
      <xdr:colOff>171360</xdr:colOff>
      <xdr:row>183</xdr:row>
      <xdr:rowOff>19080</xdr:rowOff>
    </xdr:from>
    <xdr:to>
      <xdr:col>26</xdr:col>
      <xdr:colOff>523440</xdr:colOff>
      <xdr:row>198</xdr:row>
      <xdr:rowOff>142920</xdr:rowOff>
    </xdr:to>
    <xdr:graphicFrame>
      <xdr:nvGraphicFramePr>
        <xdr:cNvPr id="12" name="Grafico 18"/>
        <xdr:cNvGraphicFramePr/>
      </xdr:nvGraphicFramePr>
      <xdr:xfrm>
        <a:off x="30632400" y="35255160"/>
        <a:ext cx="5166000" cy="312372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27</xdr:col>
      <xdr:colOff>257040</xdr:colOff>
      <xdr:row>183</xdr:row>
      <xdr:rowOff>47520</xdr:rowOff>
    </xdr:from>
    <xdr:to>
      <xdr:col>34</xdr:col>
      <xdr:colOff>561600</xdr:colOff>
      <xdr:row>198</xdr:row>
      <xdr:rowOff>38160</xdr:rowOff>
    </xdr:to>
    <xdr:graphicFrame>
      <xdr:nvGraphicFramePr>
        <xdr:cNvPr id="13" name="Grafico 19"/>
        <xdr:cNvGraphicFramePr/>
      </xdr:nvGraphicFramePr>
      <xdr:xfrm>
        <a:off x="36219600" y="35283600"/>
        <a:ext cx="5118480" cy="299052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18</xdr:col>
      <xdr:colOff>809640</xdr:colOff>
      <xdr:row>210</xdr:row>
      <xdr:rowOff>104760</xdr:rowOff>
    </xdr:from>
    <xdr:to>
      <xdr:col>26</xdr:col>
      <xdr:colOff>123480</xdr:colOff>
      <xdr:row>226</xdr:row>
      <xdr:rowOff>32040</xdr:rowOff>
    </xdr:to>
    <xdr:graphicFrame>
      <xdr:nvGraphicFramePr>
        <xdr:cNvPr id="14" name="Grafico 20"/>
        <xdr:cNvGraphicFramePr/>
      </xdr:nvGraphicFramePr>
      <xdr:xfrm>
        <a:off x="30081960" y="40644360"/>
        <a:ext cx="5316480" cy="304776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26</xdr:col>
      <xdr:colOff>561960</xdr:colOff>
      <xdr:row>210</xdr:row>
      <xdr:rowOff>85680</xdr:rowOff>
    </xdr:from>
    <xdr:to>
      <xdr:col>34</xdr:col>
      <xdr:colOff>256680</xdr:colOff>
      <xdr:row>226</xdr:row>
      <xdr:rowOff>51120</xdr:rowOff>
    </xdr:to>
    <xdr:graphicFrame>
      <xdr:nvGraphicFramePr>
        <xdr:cNvPr id="15" name="Grafico 22"/>
        <xdr:cNvGraphicFramePr/>
      </xdr:nvGraphicFramePr>
      <xdr:xfrm>
        <a:off x="35836920" y="40625280"/>
        <a:ext cx="5196240" cy="308592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19</xdr:col>
      <xdr:colOff>171360</xdr:colOff>
      <xdr:row>239</xdr:row>
      <xdr:rowOff>28440</xdr:rowOff>
    </xdr:from>
    <xdr:to>
      <xdr:col>26</xdr:col>
      <xdr:colOff>475920</xdr:colOff>
      <xdr:row>254</xdr:row>
      <xdr:rowOff>80640</xdr:rowOff>
    </xdr:to>
    <xdr:graphicFrame>
      <xdr:nvGraphicFramePr>
        <xdr:cNvPr id="16" name="Grafico 27"/>
        <xdr:cNvGraphicFramePr/>
      </xdr:nvGraphicFramePr>
      <xdr:xfrm>
        <a:off x="30632400" y="46182960"/>
        <a:ext cx="5118480" cy="298080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27</xdr:col>
      <xdr:colOff>114480</xdr:colOff>
      <xdr:row>239</xdr:row>
      <xdr:rowOff>38160</xdr:rowOff>
    </xdr:from>
    <xdr:to>
      <xdr:col>34</xdr:col>
      <xdr:colOff>419040</xdr:colOff>
      <xdr:row>254</xdr:row>
      <xdr:rowOff>100080</xdr:rowOff>
    </xdr:to>
    <xdr:graphicFrame>
      <xdr:nvGraphicFramePr>
        <xdr:cNvPr id="17" name="Grafico 32"/>
        <xdr:cNvGraphicFramePr/>
      </xdr:nvGraphicFramePr>
      <xdr:xfrm>
        <a:off x="36077040" y="46192680"/>
        <a:ext cx="5118480" cy="299052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26</xdr:col>
      <xdr:colOff>421200</xdr:colOff>
      <xdr:row>98</xdr:row>
      <xdr:rowOff>48960</xdr:rowOff>
    </xdr:from>
    <xdr:to>
      <xdr:col>34</xdr:col>
      <xdr:colOff>172800</xdr:colOff>
      <xdr:row>113</xdr:row>
      <xdr:rowOff>84240</xdr:rowOff>
    </xdr:to>
    <xdr:graphicFrame>
      <xdr:nvGraphicFramePr>
        <xdr:cNvPr id="18" name="Grafico 35"/>
        <xdr:cNvGraphicFramePr/>
      </xdr:nvGraphicFramePr>
      <xdr:xfrm>
        <a:off x="35696160" y="18772560"/>
        <a:ext cx="5253120" cy="299232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146</xdr:col>
      <xdr:colOff>235440</xdr:colOff>
      <xdr:row>241</xdr:row>
      <xdr:rowOff>43200</xdr:rowOff>
    </xdr:from>
    <xdr:to>
      <xdr:col>150</xdr:col>
      <xdr:colOff>626040</xdr:colOff>
      <xdr:row>256</xdr:row>
      <xdr:rowOff>5760</xdr:rowOff>
    </xdr:to>
    <xdr:graphicFrame>
      <xdr:nvGraphicFramePr>
        <xdr:cNvPr id="19" name="Grafico 41"/>
        <xdr:cNvGraphicFramePr/>
      </xdr:nvGraphicFramePr>
      <xdr:xfrm>
        <a:off x="118035000" y="46596240"/>
        <a:ext cx="3141360" cy="287352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14</xdr:col>
      <xdr:colOff>723960</xdr:colOff>
      <xdr:row>157</xdr:row>
      <xdr:rowOff>95400</xdr:rowOff>
    </xdr:from>
    <xdr:to>
      <xdr:col>19</xdr:col>
      <xdr:colOff>409320</xdr:colOff>
      <xdr:row>172</xdr:row>
      <xdr:rowOff>85680</xdr:rowOff>
    </xdr:to>
    <xdr:graphicFrame>
      <xdr:nvGraphicFramePr>
        <xdr:cNvPr id="20" name="Grafico 3"/>
        <xdr:cNvGraphicFramePr/>
      </xdr:nvGraphicFramePr>
      <xdr:xfrm>
        <a:off x="25321320" y="30228120"/>
        <a:ext cx="5549040" cy="290088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20</xdr:col>
      <xdr:colOff>14400</xdr:colOff>
      <xdr:row>157</xdr:row>
      <xdr:rowOff>116640</xdr:rowOff>
    </xdr:from>
    <xdr:to>
      <xdr:col>27</xdr:col>
      <xdr:colOff>85320</xdr:colOff>
      <xdr:row>172</xdr:row>
      <xdr:rowOff>146520</xdr:rowOff>
    </xdr:to>
    <xdr:graphicFrame>
      <xdr:nvGraphicFramePr>
        <xdr:cNvPr id="21" name="Grafico 96"/>
        <xdr:cNvGraphicFramePr/>
      </xdr:nvGraphicFramePr>
      <xdr:xfrm>
        <a:off x="31163040" y="30249360"/>
        <a:ext cx="4884840" cy="294048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28</xdr:col>
      <xdr:colOff>21600</xdr:colOff>
      <xdr:row>157</xdr:row>
      <xdr:rowOff>95400</xdr:rowOff>
    </xdr:from>
    <xdr:to>
      <xdr:col>35</xdr:col>
      <xdr:colOff>92520</xdr:colOff>
      <xdr:row>172</xdr:row>
      <xdr:rowOff>120600</xdr:rowOff>
    </xdr:to>
    <xdr:graphicFrame>
      <xdr:nvGraphicFramePr>
        <xdr:cNvPr id="22" name="Grafico 98"/>
        <xdr:cNvGraphicFramePr/>
      </xdr:nvGraphicFramePr>
      <xdr:xfrm>
        <a:off x="36671760" y="30228120"/>
        <a:ext cx="4884840" cy="293580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28440</xdr:colOff>
      <xdr:row>30</xdr:row>
      <xdr:rowOff>76320</xdr:rowOff>
    </xdr:from>
    <xdr:to>
      <xdr:col>6</xdr:col>
      <xdr:colOff>28080</xdr:colOff>
      <xdr:row>37</xdr:row>
      <xdr:rowOff>47520</xdr:rowOff>
    </xdr:to>
    <xdr:sp>
      <xdr:nvSpPr>
        <xdr:cNvPr id="23" name="CasellaDiTesto 6"/>
        <xdr:cNvSpPr/>
      </xdr:nvSpPr>
      <xdr:spPr>
        <a:xfrm>
          <a:off x="28440" y="5753160"/>
          <a:ext cx="6167880" cy="1304640"/>
        </a:xfrm>
        <a:prstGeom prst="rect">
          <a:avLst/>
        </a:prstGeom>
        <a:solidFill>
          <a:srgbClr val="FBE5D6"/>
        </a:solidFill>
        <a:ln w="9525">
          <a:solidFill>
            <a:srgbClr val="FFFFFF">
              <a:shade val="50000"/>
            </a:srgbClr>
          </a:solidFill>
          <a:round/>
        </a:ln>
      </xdr:spPr>
      <xdr:style>
        <a:lnRef idx="0"/>
        <a:fillRef idx="0"/>
        <a:effectRef idx="0"/>
        <a:fontRef idx="minor"/>
      </xdr:style>
      <xdr:txBody>
        <a:bodyPr horzOverflow="clip" vertOverflow="clip" anchor="t">
          <a:noAutofit/>
        </a:bodyPr>
        <a:p>
          <a:pPr>
            <a:lnSpc>
              <a:spcPct val="100000"/>
            </a:lnSpc>
            <a:tabLst>
              <a:tab pos="0" algn="l"/>
            </a:tabLst>
          </a:pPr>
          <a:r>
            <a:rPr lang="en-US" sz="1100" b="0" u="none" strike="noStrike">
              <a:solidFill>
                <a:srgbClr val="000000"/>
              </a:solidFill>
              <a:effectLst/>
              <a:uFillTx/>
              <a:latin typeface="Calibri"/>
              <a:ea typeface="Calibri"/>
            </a:rPr>
            <a:t>Stabilire quale relazione vi sia tra l'emigrazione in 35 paesi, l'immigrazione, numero medio di ore settimanali lavorate, numero di persone che beneficiano della pensione, numero di persone a rischio povertà, PIL reale pro capite, numero di occupati/attivi.</a:t>
          </a:r>
          <a:endParaRPr lang="it-IT" sz="1100" b="0" u="none" strike="noStrike">
            <a:effectLst/>
            <a:uFillTx/>
            <a:latin typeface="Noto Serif"/>
          </a:endParaRPr>
        </a:p>
        <a:p>
          <a:pPr>
            <a:lnSpc>
              <a:spcPct val="100000"/>
            </a:lnSpc>
            <a:tabLst>
              <a:tab pos="0" algn="l"/>
            </a:tabLst>
          </a:pPr>
          <a:r>
            <a:rPr lang="en-US" sz="1100" b="0" u="none" strike="noStrike">
              <a:solidFill>
                <a:srgbClr val="000000"/>
              </a:solidFill>
              <a:effectLst/>
              <a:uFillTx/>
              <a:latin typeface="Calibri"/>
              <a:ea typeface="Calibri"/>
            </a:rPr>
            <a:t>Prevedere la variazione dell'emigrazione in funzione di un aumento del 7% del numero di immigrati e del 2% del numero di beneficiari di pensione.</a:t>
          </a:r>
          <a:endParaRPr lang="it-IT" sz="1100" b="0" u="none" strike="noStrike">
            <a:effectLst/>
            <a:uFillTx/>
            <a:latin typeface="Noto Serif"/>
          </a:endParaRPr>
        </a:p>
        <a:p>
          <a:pPr>
            <a:lnSpc>
              <a:spcPct val="100000"/>
            </a:lnSpc>
            <a:tabLst>
              <a:tab pos="0" algn="l"/>
            </a:tabLst>
          </a:pPr>
          <a:endParaRPr lang="it-IT" sz="1100" b="0" u="none" strike="noStrike">
            <a:effectLst/>
            <a:uFillTx/>
            <a:latin typeface="Noto Serif"/>
          </a:endParaRPr>
        </a:p>
        <a:p>
          <a:pPr>
            <a:lnSpc>
              <a:spcPct val="100000"/>
            </a:lnSpc>
            <a:tabLst>
              <a:tab pos="0" algn="l"/>
            </a:tabLst>
          </a:pPr>
          <a:endParaRPr lang="it-IT" sz="1100" b="0" u="none" strike="noStrike">
            <a:effectLst/>
            <a:uFillTx/>
            <a:latin typeface="Noto Serif"/>
          </a:endParaRPr>
        </a:p>
        <a:p>
          <a:pPr>
            <a:lnSpc>
              <a:spcPct val="100000"/>
            </a:lnSpc>
            <a:tabLst>
              <a:tab pos="0" algn="l"/>
            </a:tabLst>
          </a:pPr>
          <a:r>
            <a:rPr lang="en-US" sz="1100" b="0" u="none" strike="noStrike">
              <a:solidFill>
                <a:srgbClr val="000000"/>
              </a:solidFill>
              <a:effectLst/>
              <a:uFillTx/>
              <a:latin typeface="Calibri"/>
              <a:ea typeface="Calibri"/>
            </a:rPr>
            <a:t> </a:t>
          </a:r>
          <a:endParaRPr lang="it-IT" sz="1100" b="0" u="none" strike="noStrike">
            <a:effectLst/>
            <a:uFillTx/>
            <a:latin typeface="Noto Serif"/>
          </a:endParaRPr>
        </a:p>
      </xdr:txBody>
    </xdr:sp>
    <xdr:clientData/>
  </xdr:twoCellAnchor>
  <xdr:twoCellAnchor editAs="twoCell">
    <xdr:from>
      <xdr:col>0</xdr:col>
      <xdr:colOff>9360</xdr:colOff>
      <xdr:row>3</xdr:row>
      <xdr:rowOff>104760</xdr:rowOff>
    </xdr:from>
    <xdr:to>
      <xdr:col>20</xdr:col>
      <xdr:colOff>389880</xdr:colOff>
      <xdr:row>27</xdr:row>
      <xdr:rowOff>132840</xdr:rowOff>
    </xdr:to>
    <xdr:sp>
      <xdr:nvSpPr>
        <xdr:cNvPr id="24" name="CasellaDiTesto 2"/>
        <xdr:cNvSpPr/>
      </xdr:nvSpPr>
      <xdr:spPr>
        <a:xfrm>
          <a:off x="9360" y="647640"/>
          <a:ext cx="16176960" cy="4590720"/>
        </a:xfrm>
        <a:prstGeom prst="rect">
          <a:avLst/>
        </a:prstGeom>
        <a:solidFill>
          <a:srgbClr val="FBE5D6"/>
        </a:solidFill>
        <a:ln w="9525">
          <a:solidFill>
            <a:srgbClr val="FFFFFF">
              <a:shade val="50000"/>
            </a:srgbClr>
          </a:solidFill>
          <a:round/>
        </a:ln>
      </xdr:spPr>
      <xdr:style>
        <a:lnRef idx="0"/>
        <a:fillRef idx="0"/>
        <a:effectRef idx="0"/>
        <a:fontRef idx="minor"/>
      </xdr:style>
      <xdr:txBody>
        <a:bodyPr horzOverflow="clip" vertOverflow="clip" anchor="t">
          <a:noAutofit/>
        </a:bodyPr>
        <a:p>
          <a:pPr>
            <a:lnSpc>
              <a:spcPct val="100000"/>
            </a:lnSpc>
            <a:tabLst>
              <a:tab pos="0" algn="l"/>
            </a:tabLst>
          </a:pPr>
          <a:r>
            <a:rPr lang="en-US" sz="1100" b="0" u="none" strike="noStrike">
              <a:solidFill>
                <a:srgbClr val="000000"/>
              </a:solidFill>
              <a:effectLst/>
              <a:uFillTx/>
              <a:latin typeface="Calibri"/>
              <a:ea typeface="Calibri"/>
            </a:rPr>
            <a:t>L'emigrazione è un fenomeno globale che ha profondi impatti sociali, economici e culturali, sia nei paesi di origine che in quelli di destinazione. Spinta da fattori come la ricerca di opportunità lavorative migliori, la fuga dalla povertà o da conflitti, l'emigrazione può generare cambiamenti significativi nelle dinamiche demografiche e economiche. Gli emigranti, spesso costretti a lasciare i propri paesi in cerca di una vita migliore, si trovano ad affrontare sfide legate all'integrazione nei nuovi contesti sociali e lavorativi.</a:t>
          </a:r>
          <a:endParaRPr lang="it-IT" sz="1100" b="0" u="none" strike="noStrike">
            <a:effectLst/>
            <a:uFillTx/>
            <a:latin typeface="Noto Serif"/>
          </a:endParaRPr>
        </a:p>
        <a:p>
          <a:pPr>
            <a:lnSpc>
              <a:spcPct val="100000"/>
            </a:lnSpc>
            <a:tabLst>
              <a:tab pos="0" algn="l"/>
            </a:tabLst>
          </a:pPr>
          <a:endParaRPr lang="it-IT" sz="1100" b="0" u="none" strike="noStrike">
            <a:effectLst/>
            <a:uFillTx/>
            <a:latin typeface="Noto Serif"/>
          </a:endParaRPr>
        </a:p>
        <a:p>
          <a:pPr>
            <a:lnSpc>
              <a:spcPct val="100000"/>
            </a:lnSpc>
            <a:tabLst>
              <a:tab pos="0" algn="l"/>
            </a:tabLst>
          </a:pPr>
          <a:r>
            <a:rPr lang="en-US" sz="1100" b="0" u="none" strike="noStrike">
              <a:solidFill>
                <a:srgbClr val="000000"/>
              </a:solidFill>
              <a:effectLst/>
              <a:uFillTx/>
              <a:latin typeface="Calibri"/>
              <a:ea typeface="Calibri"/>
            </a:rPr>
            <a:t>In parallelo, il fenomeno dell'immigrazione, che riguarda l'ingresso di persone in un paese straniero, è altrettanto rilevante. Gli immigrati contribuiscono a vari settori, dalla sanità all'agricoltura, e, in molti casi, occupano posti di lavoro che vengono difficilmente ricoperti dalla popolazione locale. Questo flusso di persone può portare a cambiamenti nella struttura occupazionale e a un aumento delle ore lavorate settimanalmente. Tuttavia, gli immigrati spesso affrontano difficoltà legate a salari più bassi, condizioni di lavoro precarie e, in alcuni casi, la mancanza di protezione sociale.</a:t>
          </a:r>
          <a:endParaRPr lang="it-IT" sz="1100" b="0" u="none" strike="noStrike">
            <a:effectLst/>
            <a:uFillTx/>
            <a:latin typeface="Noto Serif"/>
          </a:endParaRPr>
        </a:p>
        <a:p>
          <a:pPr>
            <a:lnSpc>
              <a:spcPct val="100000"/>
            </a:lnSpc>
            <a:tabLst>
              <a:tab pos="0" algn="l"/>
            </a:tabLst>
          </a:pPr>
          <a:endParaRPr lang="it-IT" sz="1100" b="0" u="none" strike="noStrike">
            <a:effectLst/>
            <a:uFillTx/>
            <a:latin typeface="Noto Serif"/>
          </a:endParaRPr>
        </a:p>
        <a:p>
          <a:pPr>
            <a:lnSpc>
              <a:spcPct val="100000"/>
            </a:lnSpc>
            <a:tabLst>
              <a:tab pos="0" algn="l"/>
            </a:tabLst>
          </a:pPr>
          <a:r>
            <a:rPr lang="en-US" sz="1100" b="0" u="none" strike="noStrike">
              <a:solidFill>
                <a:srgbClr val="000000"/>
              </a:solidFill>
              <a:effectLst/>
              <a:uFillTx/>
              <a:latin typeface="Calibri"/>
              <a:ea typeface="Calibri"/>
            </a:rPr>
            <a:t>Il rapporto tra emigrazione e povertà è strettamente legato: spesso le persone emigrano per sfuggire alla miseria economica e cercare un futuro migliore, ma l'adattamento in un nuovo paese può non essere facile. L'emigrazione, seppur fonte di opportunità per molti, può anche generare disuguaglianze economiche tra le diverse classi sociali.</a:t>
          </a:r>
          <a:endParaRPr lang="it-IT" sz="1100" b="0" u="none" strike="noStrike">
            <a:effectLst/>
            <a:uFillTx/>
            <a:latin typeface="Noto Serif"/>
          </a:endParaRPr>
        </a:p>
        <a:p>
          <a:pPr>
            <a:lnSpc>
              <a:spcPct val="100000"/>
            </a:lnSpc>
            <a:tabLst>
              <a:tab pos="0" algn="l"/>
            </a:tabLst>
          </a:pPr>
          <a:endParaRPr lang="it-IT" sz="1100" b="0" u="none" strike="noStrike">
            <a:effectLst/>
            <a:uFillTx/>
            <a:latin typeface="Noto Serif"/>
          </a:endParaRPr>
        </a:p>
        <a:p>
          <a:pPr>
            <a:lnSpc>
              <a:spcPct val="100000"/>
            </a:lnSpc>
            <a:tabLst>
              <a:tab pos="0" algn="l"/>
            </a:tabLst>
          </a:pPr>
          <a:r>
            <a:rPr lang="en-US" sz="1100" b="0" u="none" strike="noStrike">
              <a:solidFill>
                <a:srgbClr val="000000"/>
              </a:solidFill>
              <a:effectLst/>
              <a:uFillTx/>
              <a:latin typeface="Calibri"/>
              <a:ea typeface="Calibri"/>
            </a:rPr>
            <a:t>L’impatto dell'emigrazione e dell'immigrazione si riflette anche nelle economie nazionali, influenzando indicatori cruciali come il PIL (Prodotto Interno Lordo), le pensioni e il tasso di occupazione. Un aumento degli immigrati in un paese può portare a un incremento del PIL grazie al loro contributo al lavoro, ma allo stesso tempo può anche sollevare interrogativi sulle risorse destinate ai sistemi di welfare, come le pensioni, che potrebbero essere sotto pressione a causa del cambiamento demografico.</a:t>
          </a:r>
          <a:endParaRPr lang="it-IT" sz="1100" b="0" u="none" strike="noStrike">
            <a:effectLst/>
            <a:uFillTx/>
            <a:latin typeface="Noto Serif"/>
          </a:endParaRPr>
        </a:p>
        <a:p>
          <a:pPr>
            <a:lnSpc>
              <a:spcPct val="100000"/>
            </a:lnSpc>
            <a:tabLst>
              <a:tab pos="0" algn="l"/>
            </a:tabLst>
          </a:pPr>
          <a:endParaRPr lang="it-IT" sz="1100" b="0" u="none" strike="noStrike">
            <a:effectLst/>
            <a:uFillTx/>
            <a:latin typeface="Noto Serif"/>
          </a:endParaRPr>
        </a:p>
        <a:p>
          <a:pPr>
            <a:lnSpc>
              <a:spcPct val="100000"/>
            </a:lnSpc>
            <a:tabLst>
              <a:tab pos="0" algn="l"/>
            </a:tabLst>
          </a:pPr>
          <a:r>
            <a:rPr lang="en-US" sz="1100" b="0" u="none" strike="noStrike">
              <a:solidFill>
                <a:srgbClr val="000000"/>
              </a:solidFill>
              <a:effectLst/>
              <a:uFillTx/>
              <a:latin typeface="Calibri"/>
              <a:ea typeface="Calibri"/>
            </a:rPr>
            <a:t>In sintesi, l'emigrazione e l'immigrazione sono fenomeni interconnessi che sollevano questioni complesse, non solo legate al benessere dei migranti, ma anche alla sostenibilità economica e sociale dei paesi coinvolti.L'emigrazione è un fenomeno globale che ha profondi impatti sociali, economici e culturali, sia nei paesi di origine che in quelli di destinazione. Spinta da fattori come la ricerca di opportunità lavorative migliori, la fuga dalla povertà o da conflitti, l'emigrazione può generare cambiamenti significativi nelle dinamiche demografiche e economiche. Gli emigranti, spesso costretti a lasciare i propri paesi in cerca di una vita migliore, si trovano ad affrontare sfide legate all'integrazione nei nuovi contesti sociali e lavorativi.</a:t>
          </a:r>
          <a:endParaRPr lang="it-IT" sz="1100" b="0" u="none" strike="noStrike">
            <a:effectLst/>
            <a:uFillTx/>
            <a:latin typeface="Noto Serif"/>
          </a:endParaRPr>
        </a:p>
        <a:p>
          <a:pPr>
            <a:lnSpc>
              <a:spcPct val="100000"/>
            </a:lnSpc>
            <a:tabLst>
              <a:tab pos="0" algn="l"/>
            </a:tabLst>
          </a:pPr>
          <a:endParaRPr lang="it-IT" sz="1100" b="0" u="none" strike="noStrike">
            <a:effectLst/>
            <a:uFillTx/>
            <a:latin typeface="Noto Serif"/>
          </a:endParaRPr>
        </a:p>
        <a:p>
          <a:pPr>
            <a:lnSpc>
              <a:spcPct val="100000"/>
            </a:lnSpc>
            <a:tabLst>
              <a:tab pos="0" algn="l"/>
            </a:tabLst>
          </a:pPr>
          <a:r>
            <a:rPr lang="en-US" sz="1100" b="0" u="none" strike="noStrike">
              <a:solidFill>
                <a:srgbClr val="000000"/>
              </a:solidFill>
              <a:effectLst/>
              <a:uFillTx/>
              <a:latin typeface="Calibri"/>
              <a:ea typeface="Calibri"/>
            </a:rPr>
            <a:t>In parallelo, il fenomeno dell'immigrazione, che riguarda l'ingresso di persone in un paese straniero, è altrettanto rilevante. Gli immigrati contribuiscono a vari settori, dalla sanità all'agricoltura, e, in molti casi, occupano posti di lavoro che vengono difficilmente ricoperti dalla popolazione locale. Questo flusso di persone può portare a cambiamenti nella struttura occupazionale e a un aumento delle ore lavorate settimanalmente. Tuttavia, gli immigrati spesso affrontano difficoltà legate a salari più bassi, condizioni di lavoro precarie e, in alcuni casi, la mancanza di protezione sociale.</a:t>
          </a:r>
          <a:endParaRPr lang="it-IT" sz="1100" b="0" u="none" strike="noStrike">
            <a:effectLst/>
            <a:uFillTx/>
            <a:latin typeface="Noto Serif"/>
          </a:endParaRPr>
        </a:p>
        <a:p>
          <a:pPr>
            <a:lnSpc>
              <a:spcPct val="100000"/>
            </a:lnSpc>
            <a:tabLst>
              <a:tab pos="0" algn="l"/>
            </a:tabLst>
          </a:pPr>
          <a:endParaRPr lang="it-IT" sz="1100" b="0" u="none" strike="noStrike">
            <a:effectLst/>
            <a:uFillTx/>
            <a:latin typeface="Noto Serif"/>
          </a:endParaRPr>
        </a:p>
        <a:p>
          <a:pPr>
            <a:lnSpc>
              <a:spcPct val="100000"/>
            </a:lnSpc>
            <a:tabLst>
              <a:tab pos="0" algn="l"/>
            </a:tabLst>
          </a:pPr>
          <a:r>
            <a:rPr lang="en-US" sz="1100" b="0" u="none" strike="noStrike">
              <a:solidFill>
                <a:srgbClr val="000000"/>
              </a:solidFill>
              <a:effectLst/>
              <a:uFillTx/>
              <a:latin typeface="Calibri"/>
              <a:ea typeface="Calibri"/>
            </a:rPr>
            <a:t>Il rapporto tra emigrazione e povertà è strettamente legato: spesso le persone emigrano per sfuggire alla miseria economica e cercare un futuro migliore, ma l'adattamento in un nuovo paese può non essere facile. L'emigrazione, seppur fonte di opportunità per molti, può anche generare disuguaglianze economiche tra le diverse classi sociali.</a:t>
          </a:r>
          <a:endParaRPr lang="it-IT" sz="1100" b="0" u="none" strike="noStrike">
            <a:effectLst/>
            <a:uFillTx/>
            <a:latin typeface="Noto Serif"/>
          </a:endParaRPr>
        </a:p>
        <a:p>
          <a:pPr>
            <a:lnSpc>
              <a:spcPct val="100000"/>
            </a:lnSpc>
            <a:tabLst>
              <a:tab pos="0" algn="l"/>
            </a:tabLst>
          </a:pPr>
          <a:endParaRPr lang="it-IT" sz="1100" b="0" u="none" strike="noStrike">
            <a:effectLst/>
            <a:uFillTx/>
            <a:latin typeface="Noto Serif"/>
          </a:endParaRPr>
        </a:p>
        <a:p>
          <a:pPr>
            <a:lnSpc>
              <a:spcPct val="100000"/>
            </a:lnSpc>
            <a:tabLst>
              <a:tab pos="0" algn="l"/>
            </a:tabLst>
          </a:pPr>
          <a:endParaRPr lang="it-IT" sz="1100" b="0" u="none" strike="noStrike">
            <a:effectLst/>
            <a:uFillTx/>
            <a:latin typeface="Noto Serif"/>
          </a:endParaRPr>
        </a:p>
      </xdr:txBody>
    </xdr:sp>
    <xdr:clientData/>
  </xdr:twoCellAnchor>
  <xdr:twoCellAnchor editAs="twoCell">
    <xdr:from>
      <xdr:col>0</xdr:col>
      <xdr:colOff>0</xdr:colOff>
      <xdr:row>42</xdr:row>
      <xdr:rowOff>66600</xdr:rowOff>
    </xdr:from>
    <xdr:to>
      <xdr:col>12</xdr:col>
      <xdr:colOff>361440</xdr:colOff>
      <xdr:row>46</xdr:row>
      <xdr:rowOff>161640</xdr:rowOff>
    </xdr:to>
    <xdr:sp>
      <xdr:nvSpPr>
        <xdr:cNvPr id="25" name="CasellaDiTesto 8"/>
        <xdr:cNvSpPr/>
      </xdr:nvSpPr>
      <xdr:spPr>
        <a:xfrm>
          <a:off x="0" y="8029440"/>
          <a:ext cx="10656000" cy="857160"/>
        </a:xfrm>
        <a:prstGeom prst="rect">
          <a:avLst/>
        </a:prstGeom>
        <a:solidFill>
          <a:srgbClr val="FFFFFF"/>
        </a:solidFill>
        <a:ln w="9525">
          <a:solidFill>
            <a:srgbClr val="FFFFFF">
              <a:shade val="50000"/>
            </a:srgbClr>
          </a:solidFill>
          <a:round/>
        </a:ln>
      </xdr:spPr>
      <xdr:style>
        <a:lnRef idx="0"/>
        <a:fillRef idx="0"/>
        <a:effectRef idx="0"/>
        <a:fontRef idx="minor"/>
      </xdr:style>
      <xdr:txBody>
        <a:bodyPr horzOverflow="clip" vertOverflow="clip" lIns="90000" tIns="45000" rIns="90000" bIns="45000" anchor="t">
          <a:noAutofit/>
        </a:bodyPr>
        <a:p>
          <a:pPr>
            <a:lnSpc>
              <a:spcPct val="100000"/>
            </a:lnSpc>
          </a:pPr>
          <a:r>
            <a:rPr lang="it-IT" sz="1100" b="1" u="none" strike="noStrike">
              <a:solidFill>
                <a:schemeClr val="dk1"/>
              </a:solidFill>
              <a:effectLst/>
              <a:uFillTx/>
              <a:latin typeface="Calibri"/>
            </a:rPr>
            <a:t>Emigrazione</a:t>
          </a:r>
          <a:r>
            <a:rPr lang="it-IT" sz="1100" b="0" u="none" strike="noStrike">
              <a:solidFill>
                <a:schemeClr val="dk1"/>
              </a:solidFill>
              <a:effectLst/>
              <a:uFillTx/>
              <a:latin typeface="Calibri"/>
            </a:rPr>
            <a:t> (anno di riferimento 2015); </a:t>
          </a:r>
          <a:endParaRPr lang="it-IT" sz="1100" b="0" u="none" strike="noStrike">
            <a:effectLst/>
            <a:uFillTx/>
            <a:latin typeface="Noto Serif"/>
          </a:endParaRPr>
        </a:p>
        <a:p>
          <a:pPr>
            <a:lnSpc>
              <a:spcPct val="100000"/>
            </a:lnSpc>
          </a:pPr>
          <a:r>
            <a:rPr lang="it-IT" sz="1200" b="0" u="none" strike="noStrike">
              <a:solidFill>
                <a:schemeClr val="dk1"/>
              </a:solidFill>
              <a:effectLst/>
              <a:uFillTx/>
              <a:latin typeface="Calibri"/>
            </a:rPr>
            <a:t> </a:t>
          </a:r>
          <a:r>
            <a:rPr lang="it-IT" sz="1100" b="0" u="sng" strike="noStrike">
              <a:solidFill>
                <a:schemeClr val="dk1"/>
              </a:solidFill>
              <a:effectLst/>
              <a:uFillTx/>
              <a:latin typeface="Calibri"/>
            </a:rPr>
            <a:t>https://ec.europa.eu/eurostat/databrowser/view/migr_emi2__custom_14736563/default/table?lang=en</a:t>
          </a:r>
          <a:r>
            <a:rPr lang="it-IT" sz="1200" b="0" u="none" strike="noStrike">
              <a:solidFill>
                <a:schemeClr val="dk1"/>
              </a:solidFill>
              <a:effectLst/>
              <a:uFillTx/>
              <a:latin typeface="Calibri"/>
            </a:rPr>
            <a:t> </a:t>
          </a:r>
          <a:r>
            <a:rPr lang="it-IT" sz="1100" b="0" u="none" strike="noStrike">
              <a:solidFill>
                <a:schemeClr val="dk1"/>
              </a:solidFill>
              <a:effectLst/>
              <a:uFillTx/>
              <a:latin typeface="Calibri"/>
            </a:rPr>
            <a:t> </a:t>
          </a:r>
          <a:endParaRPr lang="it-IT" sz="1100" b="0" u="none" strike="noStrike">
            <a:effectLst/>
            <a:uFillTx/>
            <a:latin typeface="Noto Serif"/>
          </a:endParaRPr>
        </a:p>
        <a:p>
          <a:pPr>
            <a:lnSpc>
              <a:spcPct val="100000"/>
            </a:lnSpc>
          </a:pPr>
          <a:r>
            <a:rPr lang="it-IT" sz="1100" b="0" u="none" strike="noStrike">
              <a:solidFill>
                <a:schemeClr val="dk1"/>
              </a:solidFill>
              <a:effectLst/>
              <a:uFillTx/>
              <a:latin typeface="Calibri"/>
            </a:rPr>
            <a:t>Gli Stati membri basano generalmente i dati sui flussi migratori su fonti amministrative, indagini campionarie, dati di censimento, dati speculari, metodi matematici o una combinazione di fonti di dati.</a:t>
          </a:r>
          <a:r>
            <a:rPr lang="it-IT" sz="1200" b="0" u="none" strike="noStrike">
              <a:solidFill>
                <a:schemeClr val="dk1"/>
              </a:solidFill>
              <a:effectLst/>
              <a:uFillTx/>
              <a:latin typeface="Calibri"/>
            </a:rPr>
            <a:t> </a:t>
          </a:r>
          <a:endParaRPr lang="it-IT" sz="1200" b="0" u="none" strike="noStrike">
            <a:effectLst/>
            <a:uFillTx/>
            <a:latin typeface="Noto Serif"/>
          </a:endParaRPr>
        </a:p>
      </xdr:txBody>
    </xdr:sp>
    <xdr:clientData/>
  </xdr:twoCellAnchor>
  <xdr:twoCellAnchor editAs="twoCell">
    <xdr:from>
      <xdr:col>0</xdr:col>
      <xdr:colOff>0</xdr:colOff>
      <xdr:row>50</xdr:row>
      <xdr:rowOff>52560</xdr:rowOff>
    </xdr:from>
    <xdr:to>
      <xdr:col>13</xdr:col>
      <xdr:colOff>33120</xdr:colOff>
      <xdr:row>56</xdr:row>
      <xdr:rowOff>147600</xdr:rowOff>
    </xdr:to>
    <xdr:sp>
      <xdr:nvSpPr>
        <xdr:cNvPr id="26" name="CasellaDiTesto 9"/>
        <xdr:cNvSpPr/>
      </xdr:nvSpPr>
      <xdr:spPr>
        <a:xfrm>
          <a:off x="0" y="9539640"/>
          <a:ext cx="11015280" cy="1228320"/>
        </a:xfrm>
        <a:prstGeom prst="rect">
          <a:avLst/>
        </a:prstGeom>
        <a:solidFill>
          <a:srgbClr val="FFFFFF"/>
        </a:solidFill>
        <a:ln w="9525">
          <a:solidFill>
            <a:srgbClr val="FFFFFF">
              <a:shade val="50000"/>
            </a:srgbClr>
          </a:solidFill>
          <a:round/>
        </a:ln>
      </xdr:spPr>
      <xdr:style>
        <a:lnRef idx="0"/>
        <a:fillRef idx="0"/>
        <a:effectRef idx="0"/>
        <a:fontRef idx="minor"/>
      </xdr:style>
      <xdr:txBody>
        <a:bodyPr horzOverflow="clip" vertOverflow="clip" lIns="90000" tIns="45000" rIns="90000" bIns="45000" anchor="t">
          <a:noAutofit/>
        </a:bodyPr>
        <a:p>
          <a:pPr>
            <a:lnSpc>
              <a:spcPct val="100000"/>
            </a:lnSpc>
          </a:pPr>
          <a:r>
            <a:rPr lang="it-IT" sz="1100" b="0" u="none" strike="noStrike">
              <a:solidFill>
                <a:schemeClr val="dk1"/>
              </a:solidFill>
              <a:effectLst/>
              <a:uFillTx/>
              <a:latin typeface="Calibri"/>
            </a:rPr>
            <a:t>1)</a:t>
          </a:r>
          <a:r>
            <a:rPr lang="it-IT" sz="1100" b="1" u="none" strike="noStrike">
              <a:solidFill>
                <a:schemeClr val="dk1"/>
              </a:solidFill>
              <a:effectLst/>
              <a:uFillTx/>
              <a:latin typeface="Calibri"/>
            </a:rPr>
            <a:t>Immigrazione:</a:t>
          </a:r>
          <a:r>
            <a:rPr lang="it-IT" sz="1200" b="1" u="none" strike="noStrike">
              <a:solidFill>
                <a:schemeClr val="dk1"/>
              </a:solidFill>
              <a:effectLst/>
              <a:uFillTx/>
              <a:latin typeface="Calibri"/>
            </a:rPr>
            <a:t> </a:t>
          </a:r>
          <a:endParaRPr lang="it-IT" sz="1200" b="0" u="none" strike="noStrike">
            <a:effectLst/>
            <a:uFillTx/>
            <a:latin typeface="Noto Serif"/>
          </a:endParaRPr>
        </a:p>
        <a:p>
          <a:pPr>
            <a:lnSpc>
              <a:spcPct val="100000"/>
            </a:lnSpc>
          </a:pPr>
          <a:r>
            <a:rPr lang="it-IT" sz="1100" b="0" u="none" strike="noStrike">
              <a:solidFill>
                <a:schemeClr val="dk1"/>
              </a:solidFill>
              <a:effectLst/>
              <a:uFillTx/>
              <a:latin typeface="Calibri"/>
            </a:rPr>
            <a:t>-unità di misura: persone</a:t>
          </a:r>
          <a:r>
            <a:rPr lang="it-IT" sz="1200" b="0" u="none" strike="noStrike">
              <a:solidFill>
                <a:schemeClr val="dk1"/>
              </a:solidFill>
              <a:effectLst/>
              <a:uFillTx/>
              <a:latin typeface="Calibri"/>
            </a:rPr>
            <a:t> </a:t>
          </a:r>
          <a:r>
            <a:rPr lang="it-IT" sz="1100" b="0" u="none" strike="noStrike">
              <a:solidFill>
                <a:schemeClr val="dk1"/>
              </a:solidFill>
              <a:effectLst/>
              <a:uFillTx/>
              <a:latin typeface="Calibri"/>
            </a:rPr>
            <a:t>  </a:t>
          </a:r>
          <a:endParaRPr lang="it-IT" sz="1100" b="0" u="none" strike="noStrike">
            <a:effectLst/>
            <a:uFillTx/>
            <a:latin typeface="Noto Serif"/>
          </a:endParaRPr>
        </a:p>
        <a:p>
          <a:pPr>
            <a:lnSpc>
              <a:spcPct val="100000"/>
            </a:lnSpc>
          </a:pPr>
          <a:r>
            <a:rPr lang="it-IT" sz="1100" b="0" u="none" strike="noStrike">
              <a:solidFill>
                <a:schemeClr val="dk1"/>
              </a:solidFill>
              <a:effectLst/>
              <a:uFillTx/>
              <a:latin typeface="Calibri"/>
            </a:rPr>
            <a:t>-anno di riferimento: 2015</a:t>
          </a:r>
          <a:r>
            <a:rPr lang="it-IT" sz="1200" b="0" u="none" strike="noStrike">
              <a:solidFill>
                <a:schemeClr val="dk1"/>
              </a:solidFill>
              <a:effectLst/>
              <a:uFillTx/>
              <a:latin typeface="Calibri"/>
            </a:rPr>
            <a:t> </a:t>
          </a:r>
          <a:endParaRPr lang="it-IT" sz="1200" b="0" u="none" strike="noStrike">
            <a:effectLst/>
            <a:uFillTx/>
            <a:latin typeface="Noto Serif"/>
          </a:endParaRPr>
        </a:p>
        <a:p>
          <a:pPr>
            <a:lnSpc>
              <a:spcPct val="100000"/>
            </a:lnSpc>
          </a:pPr>
          <a:r>
            <a:rPr lang="it-IT" sz="1100" b="0" u="sng" strike="noStrike">
              <a:solidFill>
                <a:schemeClr val="dk1"/>
              </a:solidFill>
              <a:effectLst/>
              <a:uFillTx/>
              <a:latin typeface="Calibri"/>
            </a:rPr>
            <a:t>https://ec.europa.eu/eurostat/databrowser/view/migr_imm8/default/table?lang=en&amp;category=migr.migr_cit.migr_immi</a:t>
          </a:r>
          <a:endParaRPr lang="it-IT" sz="1100" b="0" u="none" strike="noStrike">
            <a:effectLst/>
            <a:uFillTx/>
            <a:latin typeface="Noto Serif"/>
          </a:endParaRPr>
        </a:p>
        <a:p>
          <a:pPr>
            <a:lnSpc>
              <a:spcPct val="100000"/>
            </a:lnSpc>
          </a:pPr>
          <a:r>
            <a:rPr lang="it-IT" sz="1200" b="0" u="none" strike="noStrike">
              <a:solidFill>
                <a:schemeClr val="dk1"/>
              </a:solidFill>
              <a:effectLst/>
              <a:uFillTx/>
              <a:latin typeface="Calibri"/>
            </a:rPr>
            <a:t> </a:t>
          </a:r>
          <a:r>
            <a:rPr lang="it-IT" sz="1100" b="0" u="none" strike="noStrike">
              <a:solidFill>
                <a:schemeClr val="dk1"/>
              </a:solidFill>
              <a:effectLst/>
              <a:uFillTx/>
              <a:latin typeface="Calibri"/>
            </a:rPr>
            <a:t>Gli Stati membri basano generalmente i dati sui flussi migratori su fonti amministrative, indagini campionarie, dati di censimento, dati speculari, metodi matematici o una combinazione di fonti di dati.</a:t>
          </a:r>
          <a:r>
            <a:rPr lang="it-IT" sz="1200" b="0" u="none" strike="noStrike">
              <a:solidFill>
                <a:schemeClr val="dk1"/>
              </a:solidFill>
              <a:effectLst/>
              <a:uFillTx/>
              <a:latin typeface="Calibri"/>
            </a:rPr>
            <a:t> </a:t>
          </a:r>
          <a:endParaRPr lang="it-IT" sz="1200" b="0" u="none" strike="noStrike">
            <a:effectLst/>
            <a:uFillTx/>
            <a:latin typeface="Noto Serif"/>
          </a:endParaRPr>
        </a:p>
      </xdr:txBody>
    </xdr:sp>
    <xdr:clientData/>
  </xdr:twoCellAnchor>
  <xdr:twoCellAnchor editAs="twoCell">
    <xdr:from>
      <xdr:col>0</xdr:col>
      <xdr:colOff>0</xdr:colOff>
      <xdr:row>58</xdr:row>
      <xdr:rowOff>66600</xdr:rowOff>
    </xdr:from>
    <xdr:to>
      <xdr:col>13</xdr:col>
      <xdr:colOff>28080</xdr:colOff>
      <xdr:row>72</xdr:row>
      <xdr:rowOff>190080</xdr:rowOff>
    </xdr:to>
    <xdr:sp>
      <xdr:nvSpPr>
        <xdr:cNvPr id="27" name="CasellaDiTesto 10"/>
        <xdr:cNvSpPr/>
      </xdr:nvSpPr>
      <xdr:spPr>
        <a:xfrm>
          <a:off x="0" y="11067840"/>
          <a:ext cx="11010240" cy="2790720"/>
        </a:xfrm>
        <a:prstGeom prst="rect">
          <a:avLst/>
        </a:prstGeom>
        <a:solidFill>
          <a:srgbClr val="FFFFFF"/>
        </a:solidFill>
        <a:ln w="9525">
          <a:solidFill>
            <a:srgbClr val="FFFFFF">
              <a:shade val="50000"/>
            </a:srgbClr>
          </a:solidFill>
          <a:round/>
        </a:ln>
      </xdr:spPr>
      <xdr:style>
        <a:lnRef idx="0"/>
        <a:fillRef idx="0"/>
        <a:effectRef idx="0"/>
        <a:fontRef idx="minor"/>
      </xdr:style>
      <xdr:txBody>
        <a:bodyPr horzOverflow="clip" vertOverflow="clip" lIns="90000" tIns="45000" rIns="90000" bIns="45000" anchor="t">
          <a:noAutofit/>
        </a:bodyPr>
        <a:p>
          <a:pPr>
            <a:lnSpc>
              <a:spcPct val="100000"/>
            </a:lnSpc>
          </a:pPr>
          <a:r>
            <a:rPr lang="it-IT" sz="1100" b="0" u="none" strike="noStrike">
              <a:solidFill>
                <a:schemeClr val="dk1"/>
              </a:solidFill>
              <a:effectLst/>
              <a:uFillTx/>
              <a:latin typeface="Calibri"/>
            </a:rPr>
            <a:t>2)</a:t>
          </a:r>
          <a:r>
            <a:rPr lang="it-IT" sz="1100" b="1" u="none" strike="noStrike">
              <a:solidFill>
                <a:schemeClr val="dk1"/>
              </a:solidFill>
              <a:effectLst/>
              <a:uFillTx/>
              <a:latin typeface="Calibri"/>
            </a:rPr>
            <a:t>Numero medio di ore di lavoro settimanali </a:t>
          </a:r>
          <a:r>
            <a:rPr lang="it-IT" sz="1100" b="0" u="none" strike="noStrike">
              <a:solidFill>
                <a:schemeClr val="dk1"/>
              </a:solidFill>
              <a:effectLst/>
              <a:uFillTx/>
              <a:latin typeface="Calibri"/>
            </a:rPr>
            <a:t>: </a:t>
          </a:r>
          <a:r>
            <a:rPr lang="it-IT" sz="1200" b="0" u="none" strike="noStrike">
              <a:solidFill>
                <a:schemeClr val="dk1"/>
              </a:solidFill>
              <a:effectLst/>
              <a:uFillTx/>
              <a:latin typeface="Calibri"/>
            </a:rPr>
            <a:t> </a:t>
          </a:r>
          <a:r>
            <a:rPr lang="it-IT" sz="1100" b="0" u="none" strike="noStrike">
              <a:solidFill>
                <a:schemeClr val="dk1"/>
              </a:solidFill>
              <a:effectLst/>
              <a:uFillTx/>
              <a:latin typeface="Calibri"/>
            </a:rPr>
            <a:t> </a:t>
          </a:r>
          <a:endParaRPr lang="it-IT" sz="1100" b="0" u="none" strike="noStrike">
            <a:effectLst/>
            <a:uFillTx/>
            <a:latin typeface="Noto Serif"/>
          </a:endParaRPr>
        </a:p>
        <a:p>
          <a:pPr>
            <a:lnSpc>
              <a:spcPct val="100000"/>
            </a:lnSpc>
          </a:pPr>
          <a:r>
            <a:rPr lang="it-IT" sz="1100" b="0" u="none" strike="noStrike">
              <a:solidFill>
                <a:schemeClr val="dk1"/>
              </a:solidFill>
              <a:effectLst/>
              <a:uFillTx/>
              <a:latin typeface="Calibri"/>
            </a:rPr>
            <a:t>-unità di misura: ore</a:t>
          </a:r>
          <a:r>
            <a:rPr lang="it-IT" sz="1200" b="0" u="none" strike="noStrike">
              <a:solidFill>
                <a:schemeClr val="dk1"/>
              </a:solidFill>
              <a:effectLst/>
              <a:uFillTx/>
              <a:latin typeface="Calibri"/>
            </a:rPr>
            <a:t> </a:t>
          </a:r>
          <a:r>
            <a:rPr lang="it-IT" sz="1100" b="0" u="none" strike="noStrike">
              <a:solidFill>
                <a:schemeClr val="dk1"/>
              </a:solidFill>
              <a:effectLst/>
              <a:uFillTx/>
              <a:latin typeface="Calibri"/>
            </a:rPr>
            <a:t>  </a:t>
          </a:r>
          <a:endParaRPr lang="it-IT" sz="1100" b="0" u="none" strike="noStrike">
            <a:effectLst/>
            <a:uFillTx/>
            <a:latin typeface="Noto Serif"/>
          </a:endParaRPr>
        </a:p>
        <a:p>
          <a:pPr>
            <a:lnSpc>
              <a:spcPct val="100000"/>
            </a:lnSpc>
          </a:pPr>
          <a:r>
            <a:rPr lang="it-IT" sz="1100" b="0" u="none" strike="noStrike">
              <a:solidFill>
                <a:schemeClr val="dk1"/>
              </a:solidFill>
              <a:effectLst/>
              <a:uFillTx/>
              <a:latin typeface="Calibri"/>
            </a:rPr>
            <a:t>-anno di riferimento: 2015</a:t>
          </a:r>
          <a:endParaRPr lang="it-IT" sz="1100" b="0" u="none" strike="noStrike">
            <a:effectLst/>
            <a:uFillTx/>
            <a:latin typeface="Noto Serif"/>
          </a:endParaRPr>
        </a:p>
        <a:p>
          <a:pPr>
            <a:lnSpc>
              <a:spcPct val="100000"/>
            </a:lnSpc>
          </a:pPr>
          <a:r>
            <a:rPr lang="it-IT" sz="1200" b="0" u="none" strike="noStrike">
              <a:solidFill>
                <a:schemeClr val="dk1"/>
              </a:solidFill>
              <a:effectLst/>
              <a:uFillTx/>
              <a:latin typeface="Calibri"/>
            </a:rPr>
            <a:t> </a:t>
          </a:r>
          <a:r>
            <a:rPr lang="it-IT" sz="1100" b="0" u="sng" strike="noStrike">
              <a:solidFill>
                <a:schemeClr val="dk1"/>
              </a:solidFill>
              <a:effectLst/>
              <a:uFillTx/>
              <a:latin typeface="Calibri"/>
            </a:rPr>
            <a:t>https://ec.europa.eu/eurostat/databrowser/view/lfsa_ewhun2/default/table?lang=en&amp;category=qoe.qoe_woli.qoe_woh</a:t>
          </a:r>
          <a:r>
            <a:rPr lang="it-IT" sz="1200" b="0" u="none" strike="noStrike">
              <a:solidFill>
                <a:schemeClr val="dk1"/>
              </a:solidFill>
              <a:effectLst/>
              <a:uFillTx/>
              <a:latin typeface="Calibri"/>
            </a:rPr>
            <a:t> </a:t>
          </a:r>
          <a:endParaRPr lang="it-IT" sz="1200" b="0" u="none" strike="noStrike">
            <a:effectLst/>
            <a:uFillTx/>
            <a:latin typeface="Noto Serif"/>
          </a:endParaRPr>
        </a:p>
        <a:p>
          <a:pPr>
            <a:lnSpc>
              <a:spcPct val="100000"/>
            </a:lnSpc>
          </a:pPr>
          <a:r>
            <a:rPr lang="it-IT" sz="1100" b="0" u="none" strike="noStrike">
              <a:solidFill>
                <a:schemeClr val="dk1"/>
              </a:solidFill>
              <a:effectLst/>
              <a:uFillTx/>
              <a:latin typeface="Calibri"/>
            </a:rPr>
            <a:t>L'EU-LVS è un'indagine campionaria casuale tra le persone appartenenti alle economie domestiche. Le unità di campionamento sono abitazioni, nuclei familiari o individui a seconda del quadro di campionamento. Per campionare le unità vengono utilizzati diversi schemi, che vanno dal semplice metodo di campionamento casuale ai complessi metodi di campionamento stratificato a più stadi dei cluster. La maggior parte dei paesi utilizza una variante del campionamento casuale stratificato a due stadi delle unità familiari.</a:t>
          </a:r>
          <a:br/>
          <a:r>
            <a:rPr lang="it-IT" sz="1100" b="0" u="none" strike="noStrike">
              <a:solidFill>
                <a:schemeClr val="dk1"/>
              </a:solidFill>
              <a:effectLst/>
              <a:uFillTx/>
              <a:latin typeface="Calibri"/>
            </a:rPr>
            <a:t>La partecipazione all'indagine è obbligatoria in Belgio, Germania, Grecia, Spagna, Francia, Italia, Cipro, Lussemburgo, Malta, Austria, Portogallo, Slovacchia, Norvegia e Turchia. Una parte dei dati può essere fornita da informazioni equivalenti provenienti da fonti alternative, compresi i registri amministrativi, a condizione che i dati ottenuti siano di qualità equivalente.</a:t>
          </a:r>
          <a:r>
            <a:rPr lang="it-IT" sz="1200" b="0" u="none" strike="noStrike">
              <a:solidFill>
                <a:schemeClr val="dk1"/>
              </a:solidFill>
              <a:effectLst/>
              <a:uFillTx/>
              <a:latin typeface="Calibri"/>
            </a:rPr>
            <a:t> </a:t>
          </a:r>
          <a:endParaRPr lang="it-IT" sz="1200" b="0" u="none" strike="noStrike">
            <a:effectLst/>
            <a:uFillTx/>
            <a:latin typeface="Noto Serif"/>
          </a:endParaRPr>
        </a:p>
        <a:p>
          <a:pPr defTabSz="914400">
            <a:lnSpc>
              <a:spcPct val="100000"/>
            </a:lnSpc>
            <a:tabLst>
              <a:tab pos="0" algn="l"/>
            </a:tabLst>
          </a:pPr>
          <a:r>
            <a:rPr lang="it-IT" sz="1100" b="0" u="none" strike="noStrike">
              <a:solidFill>
                <a:schemeClr val="dk1"/>
              </a:solidFill>
              <a:effectLst/>
              <a:uFillTx/>
              <a:latin typeface="Calibri"/>
            </a:rPr>
            <a:t>La raccolta dei dati dell'indagine sulle forze di lavoro viene effettuata principalmente attraverso quattro modalità: visite personali, interviste telefoniche, interviste web e questionari autosomministrati. Circa la metà dei paesi partecipanti conduce la prima intervista sempre o principalmente tramite CAPI mentre nelle ondate successive le interviste sono eseguite da CATI, se è disponibile un contatto telefonico.</a:t>
          </a:r>
          <a:endParaRPr lang="it-IT" sz="1100" b="0" u="none" strike="noStrike">
            <a:effectLst/>
            <a:uFillTx/>
            <a:latin typeface="Noto Serif"/>
          </a:endParaRPr>
        </a:p>
        <a:p>
          <a:pPr defTabSz="914400">
            <a:lnSpc>
              <a:spcPct val="100000"/>
            </a:lnSpc>
            <a:tabLst>
              <a:tab pos="0" algn="l"/>
            </a:tabLst>
          </a:pPr>
          <a:endParaRPr lang="it-IT" sz="1100" b="0" u="none" strike="noStrike">
            <a:effectLst/>
            <a:uFillTx/>
            <a:latin typeface="Noto Serif"/>
          </a:endParaRPr>
        </a:p>
      </xdr:txBody>
    </xdr:sp>
    <xdr:clientData/>
  </xdr:twoCellAnchor>
  <xdr:twoCellAnchor editAs="twoCell">
    <xdr:from>
      <xdr:col>0</xdr:col>
      <xdr:colOff>0</xdr:colOff>
      <xdr:row>74</xdr:row>
      <xdr:rowOff>57240</xdr:rowOff>
    </xdr:from>
    <xdr:to>
      <xdr:col>13</xdr:col>
      <xdr:colOff>37800</xdr:colOff>
      <xdr:row>79</xdr:row>
      <xdr:rowOff>190080</xdr:rowOff>
    </xdr:to>
    <xdr:sp>
      <xdr:nvSpPr>
        <xdr:cNvPr id="28" name="CasellaDiTesto 11"/>
        <xdr:cNvSpPr/>
      </xdr:nvSpPr>
      <xdr:spPr>
        <a:xfrm>
          <a:off x="0" y="14106600"/>
          <a:ext cx="11019960" cy="1085400"/>
        </a:xfrm>
        <a:prstGeom prst="rect">
          <a:avLst/>
        </a:prstGeom>
        <a:solidFill>
          <a:srgbClr val="FFFFFF"/>
        </a:solidFill>
        <a:ln w="9525">
          <a:solidFill>
            <a:srgbClr val="FFFFFF">
              <a:shade val="50000"/>
            </a:srgbClr>
          </a:solidFill>
          <a:round/>
        </a:ln>
      </xdr:spPr>
      <xdr:style>
        <a:lnRef idx="0"/>
        <a:fillRef idx="0"/>
        <a:effectRef idx="0"/>
        <a:fontRef idx="minor"/>
      </xdr:style>
      <xdr:txBody>
        <a:bodyPr horzOverflow="clip" vertOverflow="clip" lIns="90000" tIns="45000" rIns="90000" bIns="45000" anchor="t">
          <a:noAutofit/>
        </a:bodyPr>
        <a:p>
          <a:pPr>
            <a:lnSpc>
              <a:spcPct val="100000"/>
            </a:lnSpc>
          </a:pPr>
          <a:r>
            <a:rPr lang="it-IT" sz="1100" b="0" u="none" strike="noStrike">
              <a:solidFill>
                <a:schemeClr val="dk1"/>
              </a:solidFill>
              <a:effectLst/>
              <a:uFillTx/>
              <a:latin typeface="Calibri"/>
            </a:rPr>
            <a:t>3)</a:t>
          </a:r>
          <a:r>
            <a:rPr lang="it-IT" sz="1100" b="1" u="none" strike="noStrike">
              <a:solidFill>
                <a:schemeClr val="dk1"/>
              </a:solidFill>
              <a:effectLst/>
              <a:uFillTx/>
              <a:latin typeface="Calibri"/>
            </a:rPr>
            <a:t>Pensioni:</a:t>
          </a:r>
          <a:r>
            <a:rPr lang="it-IT" sz="1200" b="1" u="none" strike="noStrike">
              <a:solidFill>
                <a:schemeClr val="dk1"/>
              </a:solidFill>
              <a:effectLst/>
              <a:uFillTx/>
              <a:latin typeface="Calibri"/>
            </a:rPr>
            <a:t> </a:t>
          </a:r>
          <a:r>
            <a:rPr lang="it-IT" sz="1100" b="1" u="none" strike="noStrike">
              <a:solidFill>
                <a:schemeClr val="dk1"/>
              </a:solidFill>
              <a:effectLst/>
              <a:uFillTx/>
              <a:latin typeface="Calibri"/>
            </a:rPr>
            <a:t> </a:t>
          </a:r>
          <a:endParaRPr lang="it-IT" sz="1100" b="0" u="none" strike="noStrike">
            <a:effectLst/>
            <a:uFillTx/>
            <a:latin typeface="Noto Serif"/>
          </a:endParaRPr>
        </a:p>
        <a:p>
          <a:pPr>
            <a:lnSpc>
              <a:spcPct val="100000"/>
            </a:lnSpc>
          </a:pPr>
          <a:r>
            <a:rPr lang="it-IT" sz="1100" b="0" u="none" strike="noStrike">
              <a:solidFill>
                <a:schemeClr val="dk1"/>
              </a:solidFill>
              <a:effectLst/>
              <a:uFillTx/>
              <a:latin typeface="Calibri"/>
            </a:rPr>
            <a:t>-unità di misura: numero di persone</a:t>
          </a:r>
          <a:r>
            <a:rPr lang="it-IT" sz="1200" b="0" u="none" strike="noStrike">
              <a:solidFill>
                <a:schemeClr val="dk1"/>
              </a:solidFill>
              <a:effectLst/>
              <a:uFillTx/>
              <a:latin typeface="Calibri"/>
            </a:rPr>
            <a:t> </a:t>
          </a:r>
          <a:r>
            <a:rPr lang="it-IT" sz="1100" b="0" u="none" strike="noStrike">
              <a:solidFill>
                <a:schemeClr val="dk1"/>
              </a:solidFill>
              <a:effectLst/>
              <a:uFillTx/>
              <a:latin typeface="Calibri"/>
            </a:rPr>
            <a:t>  </a:t>
          </a:r>
          <a:endParaRPr lang="it-IT" sz="1100" b="0" u="none" strike="noStrike">
            <a:effectLst/>
            <a:uFillTx/>
            <a:latin typeface="Noto Serif"/>
          </a:endParaRPr>
        </a:p>
        <a:p>
          <a:pPr>
            <a:lnSpc>
              <a:spcPct val="100000"/>
            </a:lnSpc>
          </a:pPr>
          <a:r>
            <a:rPr lang="it-IT" sz="1100" b="0" u="none" strike="noStrike">
              <a:solidFill>
                <a:schemeClr val="dk1"/>
              </a:solidFill>
              <a:effectLst/>
              <a:uFillTx/>
              <a:latin typeface="Calibri"/>
            </a:rPr>
            <a:t>-anno di riferimento: 2015</a:t>
          </a:r>
          <a:r>
            <a:rPr lang="it-IT" sz="1200" b="0" u="none" strike="noStrike">
              <a:solidFill>
                <a:schemeClr val="dk1"/>
              </a:solidFill>
              <a:effectLst/>
              <a:uFillTx/>
              <a:latin typeface="Calibri"/>
            </a:rPr>
            <a:t> </a:t>
          </a:r>
          <a:endParaRPr lang="it-IT" sz="1200" b="0" u="none" strike="noStrike">
            <a:effectLst/>
            <a:uFillTx/>
            <a:latin typeface="Noto Serif"/>
          </a:endParaRPr>
        </a:p>
        <a:p>
          <a:pPr>
            <a:lnSpc>
              <a:spcPct val="100000"/>
            </a:lnSpc>
          </a:pPr>
          <a:r>
            <a:rPr lang="it-IT" sz="1100" b="0" u="sng" strike="noStrike">
              <a:solidFill>
                <a:schemeClr val="dk1"/>
              </a:solidFill>
              <a:effectLst/>
              <a:uFillTx/>
              <a:latin typeface="Calibri"/>
            </a:rPr>
            <a:t>https://ec.europa.eu/eurostat/databrowser/view/spr_pns_ben/default/table?lang=en&amp;category=spr.spr_pens</a:t>
          </a:r>
          <a:r>
            <a:rPr lang="it-IT" sz="1200" b="0" u="none" strike="noStrike">
              <a:solidFill>
                <a:schemeClr val="dk1"/>
              </a:solidFill>
              <a:effectLst/>
              <a:uFillTx/>
              <a:latin typeface="Calibri"/>
            </a:rPr>
            <a:t> </a:t>
          </a:r>
          <a:endParaRPr lang="it-IT" sz="1200" b="0" u="none" strike="noStrike">
            <a:effectLst/>
            <a:uFillTx/>
            <a:latin typeface="Noto Serif"/>
          </a:endParaRPr>
        </a:p>
        <a:p>
          <a:pPr>
            <a:lnSpc>
              <a:spcPct val="100000"/>
            </a:lnSpc>
          </a:pPr>
          <a:r>
            <a:rPr lang="it-IT" sz="1100" b="0" u="none" strike="noStrike">
              <a:solidFill>
                <a:schemeClr val="dk1"/>
              </a:solidFill>
              <a:effectLst/>
              <a:uFillTx/>
              <a:latin typeface="Calibri"/>
            </a:rPr>
            <a:t>I dati sono raccolti dagli istituti nazionali di statistica e/o dai ministeri degli affari sociali. La maggior parte dei dati proviene da fonti amministrative.</a:t>
          </a:r>
          <a:endParaRPr lang="it-IT" sz="1100" b="0" u="none" strike="noStrike">
            <a:effectLst/>
            <a:uFillTx/>
            <a:latin typeface="Noto Serif"/>
          </a:endParaRPr>
        </a:p>
      </xdr:txBody>
    </xdr:sp>
    <xdr:clientData/>
  </xdr:twoCellAnchor>
  <xdr:twoCellAnchor editAs="twoCell">
    <xdr:from>
      <xdr:col>0</xdr:col>
      <xdr:colOff>28440</xdr:colOff>
      <xdr:row>81</xdr:row>
      <xdr:rowOff>28440</xdr:rowOff>
    </xdr:from>
    <xdr:to>
      <xdr:col>13</xdr:col>
      <xdr:colOff>56520</xdr:colOff>
      <xdr:row>86</xdr:row>
      <xdr:rowOff>190080</xdr:rowOff>
    </xdr:to>
    <xdr:sp>
      <xdr:nvSpPr>
        <xdr:cNvPr id="29" name="CasellaDiTesto 12"/>
        <xdr:cNvSpPr/>
      </xdr:nvSpPr>
      <xdr:spPr>
        <a:xfrm>
          <a:off x="28440" y="15411240"/>
          <a:ext cx="11010240" cy="1114200"/>
        </a:xfrm>
        <a:prstGeom prst="rect">
          <a:avLst/>
        </a:prstGeom>
        <a:solidFill>
          <a:srgbClr val="FFFFFF"/>
        </a:solidFill>
        <a:ln w="9525">
          <a:solidFill>
            <a:srgbClr val="FFFFFF">
              <a:shade val="50000"/>
            </a:srgbClr>
          </a:solidFill>
          <a:round/>
        </a:ln>
      </xdr:spPr>
      <xdr:style>
        <a:lnRef idx="0"/>
        <a:fillRef idx="0"/>
        <a:effectRef idx="0"/>
        <a:fontRef idx="minor"/>
      </xdr:style>
      <xdr:txBody>
        <a:bodyPr horzOverflow="clip" vertOverflow="clip" lIns="90000" tIns="45000" rIns="90000" bIns="45000" anchor="t">
          <a:noAutofit/>
        </a:bodyPr>
        <a:p>
          <a:pPr>
            <a:lnSpc>
              <a:spcPct val="100000"/>
            </a:lnSpc>
          </a:pPr>
          <a:r>
            <a:rPr lang="it-IT" sz="1100" b="0" u="none" strike="noStrike">
              <a:solidFill>
                <a:schemeClr val="dk1"/>
              </a:solidFill>
              <a:effectLst/>
              <a:uFillTx/>
              <a:latin typeface="Calibri"/>
            </a:rPr>
            <a:t>4)</a:t>
          </a:r>
          <a:r>
            <a:rPr lang="it-IT" sz="1100" b="1" u="none" strike="noStrike">
              <a:solidFill>
                <a:schemeClr val="dk1"/>
              </a:solidFill>
              <a:effectLst/>
              <a:uFillTx/>
              <a:latin typeface="Calibri"/>
            </a:rPr>
            <a:t>Persone a rischio povertà</a:t>
          </a:r>
          <a:endParaRPr lang="it-IT" sz="1100" b="0" u="none" strike="noStrike">
            <a:effectLst/>
            <a:uFillTx/>
            <a:latin typeface="Noto Serif"/>
          </a:endParaRPr>
        </a:p>
        <a:p>
          <a:pPr>
            <a:lnSpc>
              <a:spcPct val="100000"/>
            </a:lnSpc>
          </a:pPr>
          <a:r>
            <a:rPr lang="it-IT" sz="1100" b="0" u="none" strike="noStrike">
              <a:solidFill>
                <a:schemeClr val="dk1"/>
              </a:solidFill>
              <a:effectLst/>
              <a:uFillTx/>
              <a:latin typeface="Calibri"/>
            </a:rPr>
            <a:t>-unità di misura: numero di persone</a:t>
          </a:r>
          <a:r>
            <a:rPr lang="it-IT" sz="1200" b="0" u="none" strike="noStrike">
              <a:solidFill>
                <a:schemeClr val="dk1"/>
              </a:solidFill>
              <a:effectLst/>
              <a:uFillTx/>
              <a:latin typeface="Calibri"/>
            </a:rPr>
            <a:t> </a:t>
          </a:r>
          <a:r>
            <a:rPr lang="it-IT" sz="1100" b="0" u="none" strike="noStrike">
              <a:solidFill>
                <a:schemeClr val="dk1"/>
              </a:solidFill>
              <a:effectLst/>
              <a:uFillTx/>
              <a:latin typeface="Calibri"/>
            </a:rPr>
            <a:t>  </a:t>
          </a:r>
          <a:endParaRPr lang="it-IT" sz="1100" b="0" u="none" strike="noStrike">
            <a:effectLst/>
            <a:uFillTx/>
            <a:latin typeface="Noto Serif"/>
          </a:endParaRPr>
        </a:p>
        <a:p>
          <a:pPr>
            <a:lnSpc>
              <a:spcPct val="100000"/>
            </a:lnSpc>
          </a:pPr>
          <a:r>
            <a:rPr lang="it-IT" sz="1100" b="0" u="none" strike="noStrike">
              <a:solidFill>
                <a:schemeClr val="dk1"/>
              </a:solidFill>
              <a:effectLst/>
              <a:uFillTx/>
              <a:latin typeface="Calibri"/>
            </a:rPr>
            <a:t>-anno di riferimento: 2015</a:t>
          </a:r>
          <a:endParaRPr lang="it-IT" sz="1100" b="0" u="none" strike="noStrike">
            <a:effectLst/>
            <a:uFillTx/>
            <a:latin typeface="Noto Serif"/>
          </a:endParaRPr>
        </a:p>
        <a:p>
          <a:pPr>
            <a:lnSpc>
              <a:spcPct val="100000"/>
            </a:lnSpc>
          </a:pPr>
          <a:r>
            <a:rPr lang="it-IT" sz="1200" b="0" u="none" strike="noStrike">
              <a:solidFill>
                <a:schemeClr val="dk1"/>
              </a:solidFill>
              <a:effectLst/>
              <a:uFillTx/>
              <a:latin typeface="Calibri"/>
            </a:rPr>
            <a:t> </a:t>
          </a:r>
          <a:r>
            <a:rPr lang="it-IT" sz="1100" b="0" u="sng" strike="noStrike">
              <a:solidFill>
                <a:schemeClr val="dk1"/>
              </a:solidFill>
              <a:effectLst/>
              <a:uFillTx/>
              <a:latin typeface="Calibri"/>
            </a:rPr>
            <a:t>https://ec.europa.eu/eurostat/databrowser/view/sdg_01_10/default/table?lang=en&amp;category=sdg.sdg_01</a:t>
          </a:r>
          <a:r>
            <a:rPr lang="it-IT" sz="1200" b="0" u="none" strike="noStrike">
              <a:solidFill>
                <a:schemeClr val="dk1"/>
              </a:solidFill>
              <a:effectLst/>
              <a:uFillTx/>
              <a:latin typeface="Calibri"/>
            </a:rPr>
            <a:t> </a:t>
          </a:r>
          <a:endParaRPr lang="it-IT" sz="1200" b="0" u="none" strike="noStrike">
            <a:effectLst/>
            <a:uFillTx/>
            <a:latin typeface="Noto Serif"/>
          </a:endParaRPr>
        </a:p>
        <a:p>
          <a:pPr>
            <a:lnSpc>
              <a:spcPct val="100000"/>
            </a:lnSpc>
          </a:pPr>
          <a:r>
            <a:rPr lang="it-IT" sz="1100" b="0" u="none" strike="noStrike">
              <a:solidFill>
                <a:schemeClr val="dk1"/>
              </a:solidFill>
              <a:effectLst/>
              <a:uFillTx/>
              <a:latin typeface="Calibri"/>
            </a:rPr>
            <a:t>Fonte dei dati: Statistica del reddito e delle condizioni di vita (SILC).</a:t>
          </a:r>
          <a:endParaRPr lang="it-IT" sz="1100" b="0" u="none" strike="noStrike">
            <a:effectLst/>
            <a:uFillTx/>
            <a:latin typeface="Noto Serif"/>
          </a:endParaRPr>
        </a:p>
        <a:p>
          <a:pPr>
            <a:lnSpc>
              <a:spcPct val="100000"/>
            </a:lnSpc>
          </a:pPr>
          <a:r>
            <a:rPr lang="it-IT" sz="1100" b="0" u="none" strike="noStrike">
              <a:solidFill>
                <a:schemeClr val="dk1"/>
              </a:solidFill>
              <a:effectLst/>
              <a:uFillTx/>
              <a:latin typeface="Calibri"/>
            </a:rPr>
            <a:t>Fornitore dei dati: Ufficio statistico dell'Unione europea (Eurostat), sulla base dei dati riportati dai paesi.</a:t>
          </a:r>
          <a:endParaRPr lang="it-IT" sz="1100" b="0" u="none" strike="noStrike">
            <a:effectLst/>
            <a:uFillTx/>
            <a:latin typeface="Noto Serif"/>
          </a:endParaRPr>
        </a:p>
        <a:p>
          <a:pPr>
            <a:lnSpc>
              <a:spcPct val="100000"/>
            </a:lnSpc>
          </a:pPr>
          <a:endParaRPr lang="it-IT" sz="1100" b="0" u="none" strike="noStrike">
            <a:effectLst/>
            <a:uFillTx/>
            <a:latin typeface="Noto Serif"/>
          </a:endParaRPr>
        </a:p>
      </xdr:txBody>
    </xdr:sp>
    <xdr:clientData/>
  </xdr:twoCellAnchor>
  <xdr:twoCellAnchor editAs="twoCell">
    <xdr:from>
      <xdr:col>0</xdr:col>
      <xdr:colOff>47520</xdr:colOff>
      <xdr:row>88</xdr:row>
      <xdr:rowOff>33480</xdr:rowOff>
    </xdr:from>
    <xdr:to>
      <xdr:col>13</xdr:col>
      <xdr:colOff>66240</xdr:colOff>
      <xdr:row>97</xdr:row>
      <xdr:rowOff>80640</xdr:rowOff>
    </xdr:to>
    <xdr:sp>
      <xdr:nvSpPr>
        <xdr:cNvPr id="30" name="CasellaDiTesto 16"/>
        <xdr:cNvSpPr/>
      </xdr:nvSpPr>
      <xdr:spPr>
        <a:xfrm>
          <a:off x="47520" y="16749720"/>
          <a:ext cx="11000880" cy="1761840"/>
        </a:xfrm>
        <a:prstGeom prst="rect">
          <a:avLst/>
        </a:prstGeom>
        <a:solidFill>
          <a:srgbClr val="FFFFFF"/>
        </a:solidFill>
        <a:ln w="9525">
          <a:solidFill>
            <a:srgbClr val="FFFFFF">
              <a:shade val="50000"/>
            </a:srgbClr>
          </a:solidFill>
          <a:round/>
        </a:ln>
      </xdr:spPr>
      <xdr:style>
        <a:lnRef idx="0"/>
        <a:fillRef idx="0"/>
        <a:effectRef idx="0"/>
        <a:fontRef idx="minor"/>
      </xdr:style>
      <xdr:txBody>
        <a:bodyPr horzOverflow="clip" vertOverflow="clip" lIns="90000" tIns="45000" rIns="90000" bIns="45000" anchor="t">
          <a:noAutofit/>
        </a:bodyPr>
        <a:p>
          <a:pPr>
            <a:lnSpc>
              <a:spcPct val="100000"/>
            </a:lnSpc>
          </a:pPr>
          <a:r>
            <a:rPr lang="it-IT" sz="1100" b="0" u="none" strike="noStrike">
              <a:solidFill>
                <a:schemeClr val="dk1"/>
              </a:solidFill>
              <a:effectLst/>
              <a:uFillTx/>
              <a:latin typeface="Calibri"/>
            </a:rPr>
            <a:t>5)</a:t>
          </a:r>
          <a:r>
            <a:rPr lang="it-IT" sz="1100" b="1" u="none" strike="noStrike">
              <a:solidFill>
                <a:schemeClr val="dk1"/>
              </a:solidFill>
              <a:effectLst/>
              <a:uFillTx/>
              <a:latin typeface="Calibri"/>
            </a:rPr>
            <a:t>PIL reale pro capite</a:t>
          </a:r>
          <a:endParaRPr lang="it-IT" sz="1100" b="0" u="none" strike="noStrike">
            <a:effectLst/>
            <a:uFillTx/>
            <a:latin typeface="Noto Serif"/>
          </a:endParaRPr>
        </a:p>
        <a:p>
          <a:pPr>
            <a:lnSpc>
              <a:spcPct val="100000"/>
            </a:lnSpc>
          </a:pPr>
          <a:r>
            <a:rPr lang="it-IT" sz="1100" b="0" u="none" strike="noStrike">
              <a:solidFill>
                <a:schemeClr val="dk1"/>
              </a:solidFill>
              <a:effectLst/>
              <a:uFillTx/>
              <a:latin typeface="Calibri"/>
            </a:rPr>
            <a:t> -unità di misura: euro</a:t>
          </a:r>
          <a:r>
            <a:rPr lang="it-IT" sz="1200" b="0" u="none" strike="noStrike">
              <a:solidFill>
                <a:schemeClr val="dk1"/>
              </a:solidFill>
              <a:effectLst/>
              <a:uFillTx/>
              <a:latin typeface="Calibri"/>
            </a:rPr>
            <a:t> </a:t>
          </a:r>
          <a:r>
            <a:rPr lang="it-IT" sz="1100" b="0" u="none" strike="noStrike">
              <a:solidFill>
                <a:schemeClr val="dk1"/>
              </a:solidFill>
              <a:effectLst/>
              <a:uFillTx/>
              <a:latin typeface="Calibri"/>
            </a:rPr>
            <a:t> </a:t>
          </a:r>
          <a:endParaRPr lang="it-IT" sz="1100" b="0" u="none" strike="noStrike">
            <a:effectLst/>
            <a:uFillTx/>
            <a:latin typeface="Noto Serif"/>
          </a:endParaRPr>
        </a:p>
        <a:p>
          <a:pPr>
            <a:lnSpc>
              <a:spcPct val="100000"/>
            </a:lnSpc>
          </a:pPr>
          <a:r>
            <a:rPr lang="it-IT" sz="1100" b="0" u="none" strike="noStrike">
              <a:solidFill>
                <a:schemeClr val="dk1"/>
              </a:solidFill>
              <a:effectLst/>
              <a:uFillTx/>
              <a:latin typeface="Calibri"/>
            </a:rPr>
            <a:t> -anno di riferimento: 2015</a:t>
          </a:r>
          <a:endParaRPr lang="it-IT" sz="1100" b="0" u="none" strike="noStrike">
            <a:effectLst/>
            <a:uFillTx/>
            <a:latin typeface="Noto Serif"/>
          </a:endParaRPr>
        </a:p>
        <a:p>
          <a:pPr>
            <a:lnSpc>
              <a:spcPct val="100000"/>
            </a:lnSpc>
          </a:pPr>
          <a:r>
            <a:rPr lang="it-IT" sz="1200" b="0" u="none" strike="noStrike">
              <a:solidFill>
                <a:schemeClr val="dk1"/>
              </a:solidFill>
              <a:effectLst/>
              <a:uFillTx/>
              <a:latin typeface="Calibri"/>
            </a:rPr>
            <a:t> </a:t>
          </a:r>
          <a:r>
            <a:rPr lang="it-IT" sz="1100" b="0" u="sng" strike="noStrike">
              <a:solidFill>
                <a:schemeClr val="dk1"/>
              </a:solidFill>
              <a:effectLst/>
              <a:uFillTx/>
              <a:latin typeface="Calibri"/>
            </a:rPr>
            <a:t>https://ec.europa.eu/eurostat/databrowser/view/tipsna40__custom_14680283/default/table?lang=en</a:t>
          </a:r>
          <a:r>
            <a:rPr lang="it-IT" sz="1200" b="0" u="none" strike="noStrike">
              <a:solidFill>
                <a:schemeClr val="dk1"/>
              </a:solidFill>
              <a:effectLst/>
              <a:uFillTx/>
              <a:latin typeface="Calibri"/>
            </a:rPr>
            <a:t> </a:t>
          </a:r>
          <a:endParaRPr lang="it-IT" sz="1200" b="0" u="none" strike="noStrike">
            <a:effectLst/>
            <a:uFillTx/>
            <a:latin typeface="Noto Serif"/>
          </a:endParaRPr>
        </a:p>
        <a:p>
          <a:pPr>
            <a:lnSpc>
              <a:spcPct val="100000"/>
            </a:lnSpc>
          </a:pPr>
          <a:r>
            <a:rPr lang="it-IT" sz="1100" b="0" u="none" strike="noStrike">
              <a:solidFill>
                <a:schemeClr val="dk1"/>
              </a:solidFill>
              <a:effectLst/>
              <a:uFillTx/>
              <a:latin typeface="Calibri"/>
            </a:rPr>
            <a:t>I paesi utilizzano molte fonti per compilare i loro conti nazionali, tra cui i dati amministrativi provenienti dal governo, i censimenti della popolazione, le indagini sulle imprese e le indagini sulle famiglie. Di conseguenza, non si può fare riferimento a un'indagine singola. Le fonti variano da paese a paese e possono riguardare un'ampia gamma di voci economiche, sociali, finanziarie e ambientali, che non devono sempre essere strettamente correlate ai conti nazionali. In ogni caso, non esiste un'unica fonte di indagine per i conti nazionali.</a:t>
          </a:r>
          <a:endParaRPr lang="it-IT" sz="1100" b="0" u="none" strike="noStrike">
            <a:effectLst/>
            <a:uFillTx/>
            <a:latin typeface="Noto Serif"/>
          </a:endParaRPr>
        </a:p>
      </xdr:txBody>
    </xdr:sp>
    <xdr:clientData/>
  </xdr:twoCellAnchor>
  <xdr:twoCellAnchor editAs="twoCell">
    <xdr:from>
      <xdr:col>0</xdr:col>
      <xdr:colOff>57240</xdr:colOff>
      <xdr:row>98</xdr:row>
      <xdr:rowOff>95400</xdr:rowOff>
    </xdr:from>
    <xdr:to>
      <xdr:col>13</xdr:col>
      <xdr:colOff>104400</xdr:colOff>
      <xdr:row>112</xdr:row>
      <xdr:rowOff>152280</xdr:rowOff>
    </xdr:to>
    <xdr:sp>
      <xdr:nvSpPr>
        <xdr:cNvPr id="31" name="CasellaDiTesto 17"/>
        <xdr:cNvSpPr/>
      </xdr:nvSpPr>
      <xdr:spPr>
        <a:xfrm>
          <a:off x="57240" y="18716760"/>
          <a:ext cx="11029320" cy="2723760"/>
        </a:xfrm>
        <a:prstGeom prst="rect">
          <a:avLst/>
        </a:prstGeom>
        <a:solidFill>
          <a:srgbClr val="FFFFFF"/>
        </a:solidFill>
        <a:ln w="9525">
          <a:solidFill>
            <a:srgbClr val="FFFFFF">
              <a:shade val="50000"/>
            </a:srgbClr>
          </a:solidFill>
          <a:round/>
        </a:ln>
      </xdr:spPr>
      <xdr:style>
        <a:lnRef idx="0"/>
        <a:fillRef idx="0"/>
        <a:effectRef idx="0"/>
        <a:fontRef idx="minor"/>
      </xdr:style>
      <xdr:txBody>
        <a:bodyPr horzOverflow="clip" vertOverflow="clip" lIns="90000" tIns="45000" rIns="90000" bIns="45000" anchor="t">
          <a:noAutofit/>
        </a:bodyPr>
        <a:p>
          <a:pPr>
            <a:lnSpc>
              <a:spcPct val="100000"/>
            </a:lnSpc>
          </a:pPr>
          <a:r>
            <a:rPr lang="it-IT" sz="1100" b="0" u="none" strike="noStrike">
              <a:solidFill>
                <a:schemeClr val="dk1"/>
              </a:solidFill>
              <a:effectLst/>
              <a:uFillTx/>
              <a:latin typeface="Calibri"/>
            </a:rPr>
            <a:t>6)</a:t>
          </a:r>
          <a:r>
            <a:rPr lang="it-IT" sz="1100" b="1" u="none" strike="noStrike">
              <a:solidFill>
                <a:schemeClr val="dk1"/>
              </a:solidFill>
              <a:effectLst/>
              <a:uFillTx/>
              <a:latin typeface="Calibri"/>
            </a:rPr>
            <a:t>Occupazione e attività</a:t>
          </a:r>
          <a:r>
            <a:rPr lang="it-IT" sz="1200" b="1" u="none" strike="noStrike">
              <a:solidFill>
                <a:schemeClr val="dk1"/>
              </a:solidFill>
              <a:effectLst/>
              <a:uFillTx/>
              <a:latin typeface="Calibri"/>
            </a:rPr>
            <a:t> </a:t>
          </a:r>
          <a:r>
            <a:rPr lang="it-IT" sz="1100" b="0" u="none" strike="noStrike">
              <a:solidFill>
                <a:schemeClr val="dk1"/>
              </a:solidFill>
              <a:effectLst/>
              <a:uFillTx/>
              <a:latin typeface="Calibri"/>
            </a:rPr>
            <a:t> </a:t>
          </a:r>
          <a:endParaRPr lang="it-IT" sz="1100" b="0" u="none" strike="noStrike">
            <a:effectLst/>
            <a:uFillTx/>
            <a:latin typeface="Noto Serif"/>
          </a:endParaRPr>
        </a:p>
        <a:p>
          <a:pPr>
            <a:lnSpc>
              <a:spcPct val="100000"/>
            </a:lnSpc>
          </a:pPr>
          <a:r>
            <a:rPr lang="it-IT" sz="1100" b="0" u="none" strike="noStrike">
              <a:solidFill>
                <a:schemeClr val="dk1"/>
              </a:solidFill>
              <a:effectLst/>
              <a:uFillTx/>
              <a:latin typeface="Calibri"/>
            </a:rPr>
            <a:t> -unità di misura: numero di persone</a:t>
          </a:r>
          <a:r>
            <a:rPr lang="it-IT" sz="1200" b="0" u="none" strike="noStrike">
              <a:solidFill>
                <a:schemeClr val="dk1"/>
              </a:solidFill>
              <a:effectLst/>
              <a:uFillTx/>
              <a:latin typeface="Calibri"/>
            </a:rPr>
            <a:t> </a:t>
          </a:r>
          <a:r>
            <a:rPr lang="it-IT" sz="1100" b="0" u="none" strike="noStrike">
              <a:solidFill>
                <a:schemeClr val="dk1"/>
              </a:solidFill>
              <a:effectLst/>
              <a:uFillTx/>
              <a:latin typeface="Calibri"/>
            </a:rPr>
            <a:t> </a:t>
          </a:r>
          <a:endParaRPr lang="it-IT" sz="1100" b="0" u="none" strike="noStrike">
            <a:effectLst/>
            <a:uFillTx/>
            <a:latin typeface="Noto Serif"/>
          </a:endParaRPr>
        </a:p>
        <a:p>
          <a:pPr>
            <a:lnSpc>
              <a:spcPct val="100000"/>
            </a:lnSpc>
          </a:pPr>
          <a:r>
            <a:rPr lang="it-IT" sz="1100" b="0" u="none" strike="noStrike">
              <a:solidFill>
                <a:schemeClr val="dk1"/>
              </a:solidFill>
              <a:effectLst/>
              <a:uFillTx/>
              <a:latin typeface="Calibri"/>
            </a:rPr>
            <a:t> -anno di riferimento: 2015</a:t>
          </a:r>
          <a:endParaRPr lang="it-IT" sz="1100" b="0" u="none" strike="noStrike">
            <a:effectLst/>
            <a:uFillTx/>
            <a:latin typeface="Noto Serif"/>
          </a:endParaRPr>
        </a:p>
        <a:p>
          <a:pPr>
            <a:lnSpc>
              <a:spcPct val="100000"/>
            </a:lnSpc>
          </a:pPr>
          <a:r>
            <a:rPr lang="it-IT" sz="1200" b="0" u="none" strike="noStrike">
              <a:solidFill>
                <a:schemeClr val="dk1"/>
              </a:solidFill>
              <a:effectLst/>
              <a:uFillTx/>
              <a:latin typeface="Calibri"/>
            </a:rPr>
            <a:t> </a:t>
          </a:r>
          <a:r>
            <a:rPr lang="it-IT" sz="1100" b="0" u="sng" strike="noStrike">
              <a:solidFill>
                <a:schemeClr val="dk1"/>
              </a:solidFill>
              <a:effectLst/>
              <a:uFillTx/>
              <a:latin typeface="Calibri"/>
            </a:rPr>
            <a:t>https://ec.europa.eu/eurostat/databrowser/view/lfsi_emp_a__custom_14687316/default/table?lang=en</a:t>
          </a:r>
          <a:r>
            <a:rPr lang="it-IT" sz="1200" b="0" u="none" strike="noStrike">
              <a:solidFill>
                <a:schemeClr val="dk1"/>
              </a:solidFill>
              <a:effectLst/>
              <a:uFillTx/>
              <a:latin typeface="Calibri"/>
            </a:rPr>
            <a:t> </a:t>
          </a:r>
          <a:endParaRPr lang="it-IT" sz="1200" b="0" u="none" strike="noStrike">
            <a:effectLst/>
            <a:uFillTx/>
            <a:latin typeface="Noto Serif"/>
          </a:endParaRPr>
        </a:p>
        <a:p>
          <a:pPr>
            <a:lnSpc>
              <a:spcPct val="100000"/>
            </a:lnSpc>
          </a:pPr>
          <a:r>
            <a:rPr lang="it-IT" sz="1100" b="0" u="none" strike="noStrike">
              <a:solidFill>
                <a:schemeClr val="dk1"/>
              </a:solidFill>
              <a:effectLst/>
              <a:uFillTx/>
              <a:latin typeface="Calibri"/>
            </a:rPr>
            <a:t>L'EU-LVS è un'indagine campionaria casuale tra le persone appartenenti alle economie domestiche. Le unità di campionamento sono abitazioni, nuclei familiari o individui a seconda del quadro di campionamento. Per campionare le unità vengono utilizzati diversi schemi, che vanno dal semplice metodo di campionamento casuale ai complessi metodi di campionamento stratificato a più stadi dei cluster. La maggior parte dei paesi utilizza una variante del campionamento casuale stratificato a due stadi delle unità familiari.</a:t>
          </a:r>
          <a:endParaRPr lang="it-IT" sz="1100" b="0" u="none" strike="noStrike">
            <a:effectLst/>
            <a:uFillTx/>
            <a:latin typeface="Noto Serif"/>
          </a:endParaRPr>
        </a:p>
        <a:p>
          <a:pPr>
            <a:lnSpc>
              <a:spcPct val="100000"/>
            </a:lnSpc>
          </a:pPr>
          <a:r>
            <a:rPr lang="it-IT" sz="1100" b="0" u="none" strike="noStrike">
              <a:solidFill>
                <a:schemeClr val="dk1"/>
              </a:solidFill>
              <a:effectLst/>
              <a:uFillTx/>
              <a:latin typeface="Calibri"/>
            </a:rPr>
            <a:t>La partecipazione all'indagine è obbligatoria in Belgio, Germania, Grecia, Spagna, Francia, Italia, Cipro, Lussemburgo, Malta, Austria, Portogallo, Slovacchia, Norvegia e Turchia. Una parte dei dati può essere fornita da informazioni equivalenti provenienti da fonti alternative, compresi i registri amministrativi, a condizione che i dati ottenuti siano di qualità equivalente.</a:t>
          </a:r>
          <a:endParaRPr lang="it-IT" sz="1100" b="0" u="none" strike="noStrike">
            <a:effectLst/>
            <a:uFillTx/>
            <a:latin typeface="Noto Serif"/>
          </a:endParaRPr>
        </a:p>
        <a:p>
          <a:pPr>
            <a:lnSpc>
              <a:spcPct val="100000"/>
            </a:lnSpc>
          </a:pPr>
          <a:r>
            <a:rPr lang="it-IT" sz="1100" b="0" u="none" strike="noStrike">
              <a:solidFill>
                <a:schemeClr val="dk1"/>
              </a:solidFill>
              <a:effectLst/>
              <a:uFillTx/>
              <a:latin typeface="Calibri"/>
            </a:rPr>
            <a:t>La raccolta dei dati dell'indagine sulle forze di lavoro viene effettuata principalmente attraverso quattro modalità: visite personali, interviste telefoniche, interviste web e questionari autosomministrati. Circa la metà dei paesi partecipanti conduce la prima intervista sempre o principalmente tramite CAPI mentre nelle ondate successive le interviste sono eseguite da CATI, se è disponibile un contatto telefonico.</a:t>
          </a:r>
          <a:endParaRPr lang="it-IT" sz="1100" b="0" u="none" strike="noStrike">
            <a:effectLst/>
            <a:uFillTx/>
            <a:latin typeface="Noto Serif"/>
          </a:endParaRPr>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15</xdr:col>
      <xdr:colOff>377640</xdr:colOff>
      <xdr:row>3</xdr:row>
      <xdr:rowOff>87480</xdr:rowOff>
    </xdr:from>
    <xdr:to>
      <xdr:col>21</xdr:col>
      <xdr:colOff>548640</xdr:colOff>
      <xdr:row>10</xdr:row>
      <xdr:rowOff>87120</xdr:rowOff>
    </xdr:to>
    <xdr:sp>
      <xdr:nvSpPr>
        <xdr:cNvPr id="32" name="CasellaDiTesto 8"/>
        <xdr:cNvSpPr/>
      </xdr:nvSpPr>
      <xdr:spPr>
        <a:xfrm>
          <a:off x="25809480" y="676800"/>
          <a:ext cx="5617440" cy="1333080"/>
        </a:xfrm>
        <a:prstGeom prst="rect">
          <a:avLst/>
        </a:prstGeom>
        <a:solidFill>
          <a:srgbClr val="FBE5D6"/>
        </a:solidFill>
        <a:ln w="9525">
          <a:solidFill>
            <a:srgbClr val="0070BF"/>
          </a:solidFill>
          <a:round/>
        </a:ln>
      </xdr:spPr>
      <xdr:style>
        <a:lnRef idx="0"/>
        <a:fillRef idx="0"/>
        <a:effectRef idx="0"/>
        <a:fontRef idx="minor"/>
      </xdr:style>
      <xdr:txBody>
        <a:bodyPr anchor="t">
          <a:noAutofit/>
        </a:bodyPr>
        <a:p>
          <a:pPr>
            <a:lnSpc>
              <a:spcPct val="100000"/>
            </a:lnSpc>
            <a:tabLst>
              <a:tab pos="0" algn="l"/>
            </a:tabLst>
          </a:pPr>
          <a:r>
            <a:rPr lang="en-US" sz="1100" b="1" u="none" strike="noStrike">
              <a:effectLst/>
              <a:uFillTx/>
              <a:latin typeface="Calibri"/>
              <a:ea typeface="Calibri"/>
            </a:rPr>
            <a:t>ESAMINIAMO L'ADEGUATEZZA DEL MODELLO</a:t>
          </a:r>
          <a:r>
            <a:rPr lang="en-US" sz="1100" b="0" u="none" strike="noStrike">
              <a:effectLst/>
              <a:uFillTx/>
              <a:latin typeface="Calibri"/>
              <a:ea typeface="Calibri"/>
            </a:rPr>
            <a:t>:</a:t>
          </a:r>
          <a:endParaRPr lang="it-IT" sz="1100" b="0" u="none" strike="noStrike">
            <a:effectLst/>
            <a:uFillTx/>
            <a:latin typeface="Noto Serif"/>
          </a:endParaRPr>
        </a:p>
        <a:p>
          <a:pPr>
            <a:lnSpc>
              <a:spcPct val="100000"/>
            </a:lnSpc>
            <a:tabLst>
              <a:tab pos="0" algn="l"/>
            </a:tabLst>
          </a:pPr>
          <a:r>
            <a:rPr lang="en-US" sz="1100" b="0" u="none" strike="noStrike">
              <a:solidFill>
                <a:srgbClr val="000000"/>
              </a:solidFill>
              <a:effectLst/>
              <a:uFillTx/>
              <a:latin typeface="Calibri"/>
              <a:ea typeface="Calibri"/>
            </a:rPr>
            <a:t>Il test F valuta la significatività complessiva del modello di regressione. Esamina se almeno una delle variabili indipendenti ha un effetto significativo confrontando la variabilià spiegata dal modello con la variabilità residua. </a:t>
          </a:r>
          <a:endParaRPr lang="it-IT" sz="1100" b="0" u="none" strike="noStrike">
            <a:effectLst/>
            <a:uFillTx/>
            <a:latin typeface="Noto Serif"/>
          </a:endParaRPr>
        </a:p>
        <a:p>
          <a:pPr>
            <a:lnSpc>
              <a:spcPct val="100000"/>
            </a:lnSpc>
            <a:tabLst>
              <a:tab pos="0" algn="l"/>
            </a:tabLst>
          </a:pPr>
          <a:r>
            <a:rPr lang="en-US" sz="1100" b="0" u="none" strike="noStrike">
              <a:solidFill>
                <a:srgbClr val="000000"/>
              </a:solidFill>
              <a:effectLst/>
              <a:uFillTx/>
              <a:latin typeface="Calibri"/>
              <a:ea typeface="Calibri"/>
            </a:rPr>
            <a:t>Esso, dunque, valuta il modello complessivo, non singoli coefficienti. </a:t>
          </a:r>
          <a:endParaRPr lang="it-IT" sz="1100" b="0" u="none" strike="noStrike">
            <a:effectLst/>
            <a:uFillTx/>
            <a:latin typeface="Noto Serif"/>
          </a:endParaRPr>
        </a:p>
      </xdr:txBody>
    </xdr:sp>
    <xdr:clientData/>
  </xdr:twoCellAnchor>
  <xdr:twoCellAnchor editAs="twoCell">
    <xdr:from>
      <xdr:col>18</xdr:col>
      <xdr:colOff>465840</xdr:colOff>
      <xdr:row>12</xdr:row>
      <xdr:rowOff>155880</xdr:rowOff>
    </xdr:from>
    <xdr:to>
      <xdr:col>25</xdr:col>
      <xdr:colOff>17640</xdr:colOff>
      <xdr:row>24</xdr:row>
      <xdr:rowOff>59400</xdr:rowOff>
    </xdr:to>
    <xdr:sp>
      <xdr:nvSpPr>
        <xdr:cNvPr id="33" name="CasellaDiTesto 9"/>
        <xdr:cNvSpPr/>
      </xdr:nvSpPr>
      <xdr:spPr>
        <a:xfrm>
          <a:off x="29280960" y="2459520"/>
          <a:ext cx="4365720" cy="2296440"/>
        </a:xfrm>
        <a:prstGeom prst="rect">
          <a:avLst/>
        </a:prstGeom>
        <a:solidFill>
          <a:srgbClr val="FBE5D6"/>
        </a:solidFill>
        <a:ln w="9525">
          <a:solidFill>
            <a:srgbClr val="FFFFFF">
              <a:shade val="50000"/>
            </a:srgbClr>
          </a:solidFill>
          <a:round/>
        </a:ln>
      </xdr:spPr>
      <xdr:style>
        <a:lnRef idx="0"/>
        <a:fillRef idx="0"/>
        <a:effectRef idx="0"/>
        <a:fontRef idx="minor"/>
      </xdr:style>
      <xdr:txBody>
        <a:bodyPr anchor="t">
          <a:noAutofit/>
        </a:bodyPr>
        <a:p>
          <a:pPr>
            <a:lnSpc>
              <a:spcPct val="100000"/>
            </a:lnSpc>
            <a:tabLst>
              <a:tab pos="0" algn="l"/>
            </a:tabLst>
          </a:pPr>
          <a:r>
            <a:rPr lang="en-US" sz="1100" b="1" u="none" strike="noStrike">
              <a:solidFill>
                <a:srgbClr val="000000"/>
              </a:solidFill>
              <a:effectLst/>
              <a:uFillTx/>
              <a:latin typeface="Calibri"/>
              <a:ea typeface="Calibri"/>
            </a:rPr>
            <a:t>TEST T STUDENT:</a:t>
          </a:r>
          <a:r>
            <a:rPr lang="en-US" sz="1100" b="0" u="none" strike="noStrike">
              <a:solidFill>
                <a:srgbClr val="000000"/>
              </a:solidFill>
              <a:effectLst/>
              <a:uFillTx/>
              <a:latin typeface="Calibri"/>
              <a:ea typeface="Calibri"/>
            </a:rPr>
            <a:t> </a:t>
          </a:r>
          <a:endParaRPr lang="it-IT" sz="1100" b="0" u="none" strike="noStrike">
            <a:effectLst/>
            <a:uFillTx/>
            <a:latin typeface="Noto Serif"/>
          </a:endParaRPr>
        </a:p>
        <a:p>
          <a:pPr>
            <a:lnSpc>
              <a:spcPct val="100000"/>
            </a:lnSpc>
            <a:tabLst>
              <a:tab pos="0" algn="l"/>
            </a:tabLst>
          </a:pPr>
          <a:r>
            <a:rPr lang="en-US" sz="1100" b="0" u="none" strike="noStrike">
              <a:solidFill>
                <a:srgbClr val="000000"/>
              </a:solidFill>
              <a:effectLst/>
              <a:uFillTx/>
              <a:latin typeface="Calibri"/>
              <a:ea typeface="Calibri"/>
            </a:rPr>
            <a:t>Valuta la significatività individuale di ciascun coefficiente di regressione. Esamina se una specifica variabile indipendente ha un effetto significativo sulla variabile dipendente</a:t>
          </a:r>
          <a:r>
            <a:rPr lang="en-US" sz="1100" b="0" u="none" strike="noStrike">
              <a:solidFill>
                <a:srgbClr val="000000"/>
              </a:solidFill>
              <a:effectLst/>
              <a:uFillTx/>
              <a:latin typeface="Calibri"/>
              <a:ea typeface="Calibri"/>
            </a:rPr>
            <a:t> confrontando il valore stimato di un coefficiente con il suo errore standard. Dal valore di significatività dei coefficienti di regressione affermiamo che: se questo valore è inferiore al valore critico 0,05 allora esiste una relazione significativa tra la variabile indipendente e la variabile esplicativa (accetto H1: :  </a:t>
          </a:r>
          <a:r>
            <a:rPr lang="el-GR" sz="1100" b="0" u="none" strike="noStrike">
              <a:solidFill>
                <a:srgbClr val="000000"/>
              </a:solidFill>
              <a:effectLst/>
              <a:uFillTx/>
              <a:latin typeface="Calibri"/>
              <a:ea typeface="Calibri"/>
            </a:rPr>
            <a:t>β</a:t>
          </a:r>
          <a:r>
            <a:rPr lang="en-US" sz="1100" b="0" u="none" strike="noStrike">
              <a:solidFill>
                <a:srgbClr val="000000"/>
              </a:solidFill>
              <a:effectLst/>
              <a:uFillTx/>
              <a:latin typeface="Calibri"/>
              <a:ea typeface="Calibri"/>
            </a:rPr>
            <a:t>j ≠ 0 , accetto H0: </a:t>
          </a:r>
          <a:r>
            <a:rPr lang="el-GR" sz="1100" b="0" u="none" strike="noStrike">
              <a:solidFill>
                <a:srgbClr val="000000"/>
              </a:solidFill>
              <a:effectLst/>
              <a:uFillTx/>
              <a:latin typeface="Calibri"/>
              <a:ea typeface="Calibri"/>
            </a:rPr>
            <a:t>β</a:t>
          </a:r>
          <a:r>
            <a:rPr lang="en-US" sz="1100" b="0" u="none" strike="noStrike">
              <a:solidFill>
                <a:srgbClr val="000000"/>
              </a:solidFill>
              <a:effectLst/>
              <a:uFillTx/>
              <a:latin typeface="Calibri"/>
              <a:ea typeface="Calibri"/>
            </a:rPr>
            <a:t>j=0). </a:t>
          </a:r>
          <a:endParaRPr lang="it-IT" sz="1100" b="0" u="none" strike="noStrike">
            <a:effectLst/>
            <a:uFillTx/>
            <a:latin typeface="Noto Serif"/>
          </a:endParaRPr>
        </a:p>
        <a:p>
          <a:pPr>
            <a:lnSpc>
              <a:spcPct val="100000"/>
            </a:lnSpc>
            <a:tabLst>
              <a:tab pos="0" algn="l"/>
            </a:tabLst>
          </a:pPr>
          <a:r>
            <a:rPr lang="en-US" sz="1100" b="0" u="none" strike="noStrike">
              <a:solidFill>
                <a:srgbClr val="000000"/>
              </a:solidFill>
              <a:effectLst/>
              <a:uFillTx/>
              <a:latin typeface="Calibri"/>
              <a:ea typeface="Calibri"/>
            </a:rPr>
            <a:t>Dall'output di regressione abbiamo individuato tale reazione significativa nella variabile "occupazione e attività". </a:t>
          </a:r>
          <a:endParaRPr lang="it-IT" sz="1100" b="0" u="none" strike="noStrike">
            <a:effectLst/>
            <a:uFillTx/>
            <a:latin typeface="Noto Serif"/>
          </a:endParaRPr>
        </a:p>
      </xdr:txBody>
    </xdr:sp>
    <xdr:clientData/>
  </xdr:twoCellAnchor>
  <xdr:twoCellAnchor editAs="twoCell">
    <xdr:from>
      <xdr:col>15</xdr:col>
      <xdr:colOff>510840</xdr:colOff>
      <xdr:row>28</xdr:row>
      <xdr:rowOff>9720</xdr:rowOff>
    </xdr:from>
    <xdr:to>
      <xdr:col>18</xdr:col>
      <xdr:colOff>285840</xdr:colOff>
      <xdr:row>35</xdr:row>
      <xdr:rowOff>37080</xdr:rowOff>
    </xdr:to>
    <xdr:sp>
      <xdr:nvSpPr>
        <xdr:cNvPr id="34" name="CasellaDiTesto 1"/>
        <xdr:cNvSpPr/>
      </xdr:nvSpPr>
      <xdr:spPr>
        <a:xfrm>
          <a:off x="25942680" y="5486040"/>
          <a:ext cx="3158280" cy="1360800"/>
        </a:xfrm>
        <a:prstGeom prst="rect">
          <a:avLst/>
        </a:prstGeom>
        <a:solidFill>
          <a:srgbClr val="FBE5D6"/>
        </a:solidFill>
        <a:ln w="9525">
          <a:solidFill>
            <a:srgbClr val="FFFFFF">
              <a:shade val="50000"/>
            </a:srgbClr>
          </a:solidFill>
          <a:round/>
        </a:ln>
      </xdr:spPr>
      <xdr:style>
        <a:lnRef idx="0"/>
        <a:fillRef idx="0"/>
        <a:effectRef idx="0"/>
        <a:fontRef idx="minor"/>
      </xdr:style>
      <xdr:txBody>
        <a:bodyPr anchor="t">
          <a:noAutofit/>
        </a:bodyPr>
        <a:p>
          <a:pPr>
            <a:lnSpc>
              <a:spcPct val="100000"/>
            </a:lnSpc>
            <a:tabLst>
              <a:tab pos="0" algn="l"/>
            </a:tabLst>
          </a:pPr>
          <a:r>
            <a:rPr lang="en-US" sz="1100" b="0" u="none" strike="noStrike">
              <a:solidFill>
                <a:srgbClr val="000000"/>
              </a:solidFill>
              <a:effectLst/>
              <a:uFillTx/>
              <a:latin typeface="Calibri"/>
              <a:ea typeface="Calibri"/>
            </a:rPr>
            <a:t>L'analisi dei residui è fondamentale per valutare la bontà del modello e verificare se le sue ipotesi sono rispettate e cioè se il modello di regressione impiegato è adeguato per l'analisi dell'insieme dei dati considerati. </a:t>
          </a:r>
          <a:endParaRPr lang="it-IT" sz="1100" b="0" u="none" strike="noStrike">
            <a:effectLst/>
            <a:uFillTx/>
            <a:latin typeface="Noto Serif"/>
          </a:endParaRPr>
        </a:p>
      </xdr:txBody>
    </xdr:sp>
    <xdr:clientData/>
  </xdr:twoCellAnchor>
  <xdr:twoCellAnchor editAs="oneCell">
    <xdr:from>
      <xdr:col>16</xdr:col>
      <xdr:colOff>324000</xdr:colOff>
      <xdr:row>37</xdr:row>
      <xdr:rowOff>152280</xdr:rowOff>
    </xdr:from>
    <xdr:to>
      <xdr:col>23</xdr:col>
      <xdr:colOff>580680</xdr:colOff>
      <xdr:row>54</xdr:row>
      <xdr:rowOff>66240</xdr:rowOff>
    </xdr:to>
    <xdr:graphicFrame>
      <xdr:nvGraphicFramePr>
        <xdr:cNvPr id="35" name="Grafico 3"/>
        <xdr:cNvGraphicFramePr/>
      </xdr:nvGraphicFramePr>
      <xdr:xfrm>
        <a:off x="26818920" y="7342920"/>
        <a:ext cx="6015240" cy="31525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581040</xdr:colOff>
      <xdr:row>28</xdr:row>
      <xdr:rowOff>162000</xdr:rowOff>
    </xdr:from>
    <xdr:to>
      <xdr:col>18</xdr:col>
      <xdr:colOff>104400</xdr:colOff>
      <xdr:row>44</xdr:row>
      <xdr:rowOff>9360</xdr:rowOff>
    </xdr:to>
    <xdr:graphicFrame>
      <xdr:nvGraphicFramePr>
        <xdr:cNvPr id="36" name="Grafico 1"/>
        <xdr:cNvGraphicFramePr/>
      </xdr:nvGraphicFramePr>
      <xdr:xfrm>
        <a:off x="19431000" y="5585040"/>
        <a:ext cx="5449680" cy="2895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419040</xdr:colOff>
      <xdr:row>25</xdr:row>
      <xdr:rowOff>76320</xdr:rowOff>
    </xdr:from>
    <xdr:to>
      <xdr:col>13</xdr:col>
      <xdr:colOff>799560</xdr:colOff>
      <xdr:row>40</xdr:row>
      <xdr:rowOff>104400</xdr:rowOff>
    </xdr:to>
    <xdr:graphicFrame>
      <xdr:nvGraphicFramePr>
        <xdr:cNvPr id="37" name="Grafico 2"/>
        <xdr:cNvGraphicFramePr/>
      </xdr:nvGraphicFramePr>
      <xdr:xfrm>
        <a:off x="12420720" y="4910040"/>
        <a:ext cx="5409720" cy="2885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11</xdr:col>
      <xdr:colOff>0</xdr:colOff>
      <xdr:row>11</xdr:row>
      <xdr:rowOff>0</xdr:rowOff>
    </xdr:from>
    <xdr:to>
      <xdr:col>15</xdr:col>
      <xdr:colOff>85320</xdr:colOff>
      <xdr:row>18</xdr:row>
      <xdr:rowOff>107280</xdr:rowOff>
    </xdr:to>
    <xdr:sp>
      <xdr:nvSpPr>
        <xdr:cNvPr id="38" name="CasellaDiTesto 1"/>
        <xdr:cNvSpPr/>
      </xdr:nvSpPr>
      <xdr:spPr>
        <a:xfrm>
          <a:off x="13761720" y="2113200"/>
          <a:ext cx="4545000" cy="1440720"/>
        </a:xfrm>
        <a:prstGeom prst="rect">
          <a:avLst/>
        </a:prstGeom>
        <a:solidFill>
          <a:srgbClr val="FFFFFF"/>
        </a:solidFill>
        <a:ln w="9525">
          <a:solidFill>
            <a:srgbClr val="FFFFFF">
              <a:shade val="50000"/>
            </a:srgbClr>
          </a:solidFill>
          <a:round/>
        </a:ln>
      </xdr:spPr>
      <xdr:style>
        <a:lnRef idx="0"/>
        <a:fillRef idx="0"/>
        <a:effectRef idx="0"/>
        <a:fontRef idx="minor"/>
      </xdr:style>
      <xdr:txBody>
        <a:bodyPr anchor="t">
          <a:noAutofit/>
        </a:bodyPr>
        <a:p>
          <a:pPr>
            <a:lnSpc>
              <a:spcPct val="100000"/>
            </a:lnSpc>
            <a:tabLst>
              <a:tab pos="0" algn="l"/>
            </a:tabLst>
          </a:pPr>
          <a:r>
            <a:rPr lang="it-IT" sz="1100" b="1" u="none" strike="noStrike">
              <a:effectLst/>
              <a:uFillTx/>
              <a:latin typeface="Calibri"/>
            </a:rPr>
            <a:t>∆</a:t>
          </a:r>
          <a:r>
            <a:rPr lang="it-IT" sz="1100" b="1" u="none" strike="noStrike" baseline="-25000">
              <a:effectLst/>
              <a:uFillTx/>
              <a:latin typeface="Calibri"/>
            </a:rPr>
            <a:t>i </a:t>
          </a:r>
          <a:r>
            <a:rPr lang="it-IT" sz="1100" b="1" u="none" strike="noStrike">
              <a:effectLst/>
              <a:uFillTx/>
              <a:latin typeface="Calibri"/>
            </a:rPr>
            <a:t>per ogni X</a:t>
          </a:r>
          <a:r>
            <a:rPr lang="it-IT" sz="1100" b="1" u="none" strike="noStrike" baseline="-25000">
              <a:effectLst/>
              <a:uFillTx/>
              <a:latin typeface="Calibri"/>
            </a:rPr>
            <a:t>i</a:t>
          </a:r>
          <a:r>
            <a:rPr lang="it-IT" sz="1100" b="0" u="none" strike="noStrike">
              <a:effectLst/>
              <a:uFillTx/>
              <a:latin typeface="Calibri"/>
            </a:rPr>
            <a:t> : e</a:t>
          </a:r>
          <a:r>
            <a:rPr lang="en-US" sz="1100" b="0" u="none" strike="noStrike">
              <a:solidFill>
                <a:srgbClr val="000000"/>
              </a:solidFill>
              <a:effectLst/>
              <a:uFillTx/>
              <a:latin typeface="Calibri"/>
              <a:ea typeface="Calibri"/>
            </a:rPr>
            <a:t>sprime di quanto varia il valore di ogni variabile indipendente; in questo caso abbiamo deciso di far aumentare del 7% il numero di immigrati 2015 e del 2% il numero di beneficiari di pensione 2015 e vedere come cambierebbe in questo caso l'emigrazione negli anni successivi.</a:t>
          </a:r>
          <a:endParaRPr lang="it-IT" sz="1100" b="0" u="none" strike="noStrike">
            <a:effectLst/>
            <a:uFillTx/>
            <a:latin typeface="Noto Serif"/>
          </a:endParaRPr>
        </a:p>
      </xdr:txBody>
    </xdr:sp>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23</xdr:col>
      <xdr:colOff>242280</xdr:colOff>
      <xdr:row>8</xdr:row>
      <xdr:rowOff>126000</xdr:rowOff>
    </xdr:from>
    <xdr:to>
      <xdr:col>26</xdr:col>
      <xdr:colOff>618120</xdr:colOff>
      <xdr:row>15</xdr:row>
      <xdr:rowOff>89640</xdr:rowOff>
    </xdr:to>
    <xdr:sp>
      <xdr:nvSpPr>
        <xdr:cNvPr id="39" name="CasellaDiTesto 1"/>
        <xdr:cNvSpPr/>
      </xdr:nvSpPr>
      <xdr:spPr>
        <a:xfrm>
          <a:off x="35025840" y="1649880"/>
          <a:ext cx="2438640" cy="1297440"/>
        </a:xfrm>
        <a:prstGeom prst="rect">
          <a:avLst/>
        </a:prstGeom>
        <a:solidFill>
          <a:srgbClr val="FFFFCC"/>
        </a:solid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it-IT" sz="1200" b="0" u="none" strike="noStrike">
              <a:solidFill>
                <a:schemeClr val="dk1"/>
              </a:solidFill>
              <a:effectLst/>
              <a:uFillTx/>
              <a:latin typeface="Calibri"/>
            </a:rPr>
            <a:t>Rappresenta il tasso medio di crescita o variazione percentuale di una grandezza in un certo intervallo di tempo. È una misura sintetica che descrive, in media, come una variabile si è evoluta tra due periodi estremi.</a:t>
          </a:r>
          <a:endParaRPr lang="it-IT" sz="1200" b="0" u="none" strike="noStrike">
            <a:effectLst/>
            <a:uFillTx/>
            <a:latin typeface="Noto Serif"/>
          </a:endParaRPr>
        </a:p>
        <a:p>
          <a:pPr>
            <a:lnSpc>
              <a:spcPct val="100000"/>
            </a:lnSpc>
          </a:pPr>
          <a:endParaRPr lang="it-IT" sz="1100" b="0" u="none" strike="noStrike">
            <a:effectLst/>
            <a:uFillTx/>
            <a:latin typeface="Noto Serif"/>
          </a:endParaRPr>
        </a:p>
      </xdr:txBody>
    </xdr:sp>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11</xdr:row>
      <xdr:rowOff>162000</xdr:rowOff>
    </xdr:from>
    <xdr:to>
      <xdr:col>8</xdr:col>
      <xdr:colOff>336600</xdr:colOff>
      <xdr:row>14</xdr:row>
      <xdr:rowOff>18720</xdr:rowOff>
    </xdr:to>
    <xdr:sp>
      <xdr:nvSpPr>
        <xdr:cNvPr id="40" name="CasellaDiTesto 3"/>
        <xdr:cNvSpPr/>
      </xdr:nvSpPr>
      <xdr:spPr>
        <a:xfrm>
          <a:off x="0" y="2382120"/>
          <a:ext cx="10996920" cy="428040"/>
        </a:xfrm>
        <a:prstGeom prst="rect">
          <a:avLst/>
        </a:prstGeom>
        <a:solidFill>
          <a:srgbClr val="FFFFFF"/>
        </a:solidFill>
        <a:ln w="9525">
          <a:solidFill>
            <a:srgbClr val="FFFFFF">
              <a:shade val="50000"/>
            </a:srgbClr>
          </a:solidFill>
          <a:round/>
        </a:ln>
      </xdr:spPr>
      <xdr:style>
        <a:lnRef idx="0"/>
        <a:fillRef idx="0"/>
        <a:effectRef idx="0"/>
        <a:fontRef idx="minor"/>
      </xdr:style>
      <xdr:txBody>
        <a:bodyPr horzOverflow="clip" vertOverflow="clip" anchor="t">
          <a:noAutofit/>
        </a:bodyPr>
        <a:p>
          <a:pPr>
            <a:lnSpc>
              <a:spcPct val="100000"/>
            </a:lnSpc>
            <a:tabLst>
              <a:tab pos="0" algn="l"/>
            </a:tabLst>
          </a:pPr>
          <a:r>
            <a:rPr lang="en-US" sz="2000" b="0" u="none" strike="noStrike">
              <a:solidFill>
                <a:srgbClr val="000000"/>
              </a:solidFill>
              <a:effectLst/>
              <a:uFillTx/>
              <a:latin typeface="Calibri"/>
              <a:ea typeface="Calibri"/>
            </a:rPr>
            <a:t> </a:t>
          </a:r>
          <a:r>
            <a:rPr lang="en-US" sz="2000" b="1" u="none" strike="noStrike">
              <a:solidFill>
                <a:srgbClr val="000000"/>
              </a:solidFill>
              <a:effectLst/>
              <a:uFillTx/>
              <a:latin typeface="Calibri"/>
              <a:ea typeface="Calibri"/>
            </a:rPr>
            <a:t> Emigrazione= </a:t>
          </a:r>
          <a:r>
            <a:rPr lang="it-IT" sz="2000" b="0" u="none" strike="noStrike">
              <a:effectLst/>
              <a:uFillTx/>
              <a:latin typeface="Calibri"/>
              <a:ea typeface="Calibri"/>
            </a:rPr>
            <a:t>25440,70</a:t>
          </a:r>
          <a:r>
            <a:rPr lang="en-US" sz="2000" b="0" u="none" strike="noStrike">
              <a:solidFill>
                <a:srgbClr val="000000"/>
              </a:solidFill>
              <a:effectLst/>
              <a:uFillTx/>
              <a:latin typeface="Calibri"/>
              <a:ea typeface="Calibri"/>
            </a:rPr>
            <a:t> + 2,059*Immigrazione + 8,664*pensioni ± 56092,764 </a:t>
          </a:r>
          <a:endParaRPr lang="it-IT" sz="2000" b="0" u="none" strike="noStrike">
            <a:effectLst/>
            <a:uFillTx/>
            <a:latin typeface="Noto Serif"/>
          </a:endParaRPr>
        </a:p>
      </xdr:txBody>
    </xdr: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ec.europa.eu/eurostat/databrowser/view/gov_10q_ggdebt/default/table?lang=en&amp;category=gov.gov_gfs10.gov_10q" TargetMode="External"/><Relationship Id="rId3" Type="http://schemas.openxmlformats.org/officeDocument/2006/relationships/drawing" Target="../drawings/drawing1.xml"/><Relationship Id="rId4"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ec.europa.eu/eurostat/databrowser/view/migr_emi2__custom_14736563/default/table?lang=en" TargetMode="External"/><Relationship Id="rId3" Type="http://schemas.openxmlformats.org/officeDocument/2006/relationships/hyperlink" Target="https://ec.europa.eu/eurostat/databrowser/view/migr_imm8/default/table?lang=en&amp;category=migr.migr_cit.migr_immi" TargetMode="External"/><Relationship Id="rId4" Type="http://schemas.openxmlformats.org/officeDocument/2006/relationships/hyperlink" Target="https://ec.europa.eu/eurostat/databrowser/view/lfsa_ewhun2/default/table?lang=en&amp;category=qoe.qoe_woli.qoe_woh" TargetMode="External"/><Relationship Id="rId5" Type="http://schemas.openxmlformats.org/officeDocument/2006/relationships/hyperlink" Target="https://ec.europa.eu/eurostat/databrowser/view/spr_pns_ben/default/table?lang=en&amp;category=spr.spr_pens" TargetMode="External"/><Relationship Id="rId6" Type="http://schemas.openxmlformats.org/officeDocument/2006/relationships/hyperlink" Target="https://ec.europa.eu/eurostat/databrowser/view/sdg_01_10/default/table?lang=en&amp;category=sdg.sdg_01" TargetMode="External"/><Relationship Id="rId7" Type="http://schemas.openxmlformats.org/officeDocument/2006/relationships/hyperlink" Target="https://ec.europa.eu/eurostat/databrowser/view/tipsna40__custom_14680283/default/table?lang=en" TargetMode="External"/><Relationship Id="rId8" Type="http://schemas.openxmlformats.org/officeDocument/2006/relationships/hyperlink" Target="https://ec.europa.eu/eurostat/databrowser/view/lfsi_emp_a__custom_14687316/default/table?lang=en" TargetMode="External"/><Relationship Id="rId9" Type="http://schemas.openxmlformats.org/officeDocument/2006/relationships/hyperlink" Target="https://data.worldbank.org/indicator/NY.GDP.PCAP.CD?locations=EU" TargetMode="External"/><Relationship Id="rId10"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ec.europa.eu/eurostat/databrowser/view/migr_emi2__custom_14736563/default/table?lang=en" TargetMode="External"/><Relationship Id="rId3" Type="http://schemas.openxmlformats.org/officeDocument/2006/relationships/hyperlink" Target="https://ec.europa.eu/eurostat/databrowser/view/migr_imm8/default/table?lang=en&amp;category=migr.migr_cit.migr_immi" TargetMode="External"/><Relationship Id="rId4" Type="http://schemas.openxmlformats.org/officeDocument/2006/relationships/hyperlink" Target="https://ec.europa.eu/eurostat/databrowser/view/lfsa_ewhun2/default/table?lang=en&amp;category=qoe.qoe_woli.qoe_woh" TargetMode="External"/><Relationship Id="rId5" Type="http://schemas.openxmlformats.org/officeDocument/2006/relationships/hyperlink" Target="https://ec.europa.eu/eurostat/databrowser/view/spr_pns_ben/default/table?lang=en&amp;category=spr.spr_pens" TargetMode="External"/><Relationship Id="rId6" Type="http://schemas.openxmlformats.org/officeDocument/2006/relationships/hyperlink" Target="https://ec.europa.eu/eurostat/databrowser/view/sdg_01_10/default/table?lang=en&amp;category=sdg.sdg_01" TargetMode="External"/><Relationship Id="rId7" Type="http://schemas.openxmlformats.org/officeDocument/2006/relationships/hyperlink" Target="https://ec.europa.eu/eurostat/databrowser/view/tipsna40__custom_14680283/default/table?lang=en" TargetMode="External"/><Relationship Id="rId8" Type="http://schemas.openxmlformats.org/officeDocument/2006/relationships/hyperlink" Target="https://ec.europa.eu/eurostat/databrowser/view/lfsi_emp_a__custom_14687316/default/table?lang=en" TargetMode="External"/><Relationship Id="rId9" Type="http://schemas.openxmlformats.org/officeDocument/2006/relationships/hyperlink" Target="https://data.worldbank.org/indicator/NY.GDP.PCAP.CD?locations=EU" TargetMode="External"/><Relationship Id="rId10" Type="http://schemas.openxmlformats.org/officeDocument/2006/relationships/drawing" Target="../drawings/drawing4.xml"/><Relationship Id="rId11"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ec.europa.eu/eurostat/databrowser/view/migr_emi2__custom_14736563/default/table?lang=en" TargetMode="External"/><Relationship Id="rId3" Type="http://schemas.openxmlformats.org/officeDocument/2006/relationships/hyperlink" Target="https://ec.europa.eu/eurostat/databrowser/view/migr_imm8/default/table?lang=en&amp;category=migr.migr_cit.migr_immi" TargetMode="External"/><Relationship Id="rId4" Type="http://schemas.openxmlformats.org/officeDocument/2006/relationships/hyperlink" Target="https://ec.europa.eu/eurostat/databrowser/view/lfsa_ewhun2/default/table?lang=en&amp;category=qoe.qoe_woli.qoe_woh" TargetMode="External"/><Relationship Id="rId5" Type="http://schemas.openxmlformats.org/officeDocument/2006/relationships/hyperlink" Target="https://ec.europa.eu/eurostat/databrowser/view/spr_pns_ben/default/table?lang=en&amp;category=spr.spr_pens" TargetMode="External"/><Relationship Id="rId6" Type="http://schemas.openxmlformats.org/officeDocument/2006/relationships/drawing" Target="../drawings/drawing5.xml"/><Relationship Id="rId7" Type="http://schemas.openxmlformats.org/officeDocument/2006/relationships/vmlDrawing" Target="../drawings/vmlDrawing5.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ec.europa.eu/eurostat/databrowser/view/migr_emi2__custom_14736563/default/table?lang=en" TargetMode="External"/><Relationship Id="rId3" Type="http://schemas.openxmlformats.org/officeDocument/2006/relationships/hyperlink" Target="https://ec.europa.eu/eurostat/databrowser/view/migr_imm8/default/table?lang=en&amp;category=migr.migr_cit.migr_immi" TargetMode="External"/><Relationship Id="rId4" Type="http://schemas.openxmlformats.org/officeDocument/2006/relationships/hyperlink" Target="https://ec.europa.eu/eurostat/databrowser/view/spr_pns_ben/default/table?lang=en&amp;category=spr.spr_pens" TargetMode="External"/><Relationship Id="rId5" Type="http://schemas.openxmlformats.org/officeDocument/2006/relationships/drawing" Target="../drawings/drawing6.xml"/><Relationship Id="rId6" Type="http://schemas.openxmlformats.org/officeDocument/2006/relationships/vmlDrawing" Target="../drawings/vmlDrawing6.vml"/>
</Relationships>
</file>

<file path=xl/worksheets/_rels/sheet9.xml.rels><?xml version="1.0" encoding="UTF-8"?>
<Relationships xmlns="http://schemas.openxmlformats.org/package/2006/relationships"><Relationship Id="rId1" Type="http://schemas.openxmlformats.org/officeDocument/2006/relationships/hyperlink" Target="https://ec.europa.eu/eurostat/databrowser/view/migr_emi2__custom_14736563/default/table?lang=en" TargetMode="External"/><Relationship Id="rId2" Type="http://schemas.openxmlformats.org/officeDocument/2006/relationships/hyperlink" Target="https://ec.europa.eu/eurostat/databrowser/view/migr_imm8/default/table?lang=en&amp;category=migr.migr_cit.migr_immi" TargetMode="External"/><Relationship Id="rId3" Type="http://schemas.openxmlformats.org/officeDocument/2006/relationships/hyperlink" Target="https://ec.europa.eu/eurostat/databrowser/view/spr_pns_ben/default/table?lang=en&amp;category=spr.spr_pens" TargetMode="External"/><Relationship Id="rId4"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8.xml"/><Relationship Id="rId3" Type="http://schemas.openxmlformats.org/officeDocument/2006/relationships/vmlDrawing" Target="../drawings/vmlDrawing7.v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26" activeCellId="0" sqref="1:1048576"/>
    </sheetView>
  </sheetViews>
  <sheetFormatPr defaultColWidth="8.59765625" defaultRowHeight="15" customHeight="false" zeroHeight="false" outlineLevelRow="0" outlineLevelCol="0"/>
  <cols>
    <col collapsed="false" customWidth="true" hidden="false" outlineLevel="0" max="1" min="1" style="0" width="25"/>
  </cols>
  <sheetData>
    <row r="2" customFormat="false" ht="15" hidden="false" customHeight="false" outlineLevel="0" collapsed="false">
      <c r="A2" s="1" t="s">
        <v>0</v>
      </c>
      <c r="B2" s="1"/>
      <c r="C2" s="1"/>
      <c r="D2" s="1"/>
    </row>
    <row r="4" customFormat="false" ht="16.4" hidden="false" customHeight="false" outlineLevel="0" collapsed="false">
      <c r="A4" s="2" t="s">
        <v>1</v>
      </c>
      <c r="B4" s="3" t="s">
        <v>2</v>
      </c>
    </row>
    <row r="5" customFormat="false" ht="15" hidden="false" customHeight="false" outlineLevel="0" collapsed="false">
      <c r="A5" s="2" t="s">
        <v>3</v>
      </c>
      <c r="B5" s="4" t="s">
        <v>4</v>
      </c>
    </row>
    <row r="6" customFormat="false" ht="15" hidden="false" customHeight="false" outlineLevel="0" collapsed="false">
      <c r="A6" s="2" t="s">
        <v>5</v>
      </c>
      <c r="B6" s="0" t="s">
        <v>6</v>
      </c>
    </row>
    <row r="7" customFormat="false" ht="15" hidden="false" customHeight="false" outlineLevel="0" collapsed="false">
      <c r="A7" s="2" t="s">
        <v>7</v>
      </c>
      <c r="B7" s="0" t="s">
        <v>8</v>
      </c>
    </row>
    <row r="9" customFormat="false" ht="15" hidden="false" customHeight="false" outlineLevel="0" collapsed="false">
      <c r="A9" s="2"/>
    </row>
  </sheetData>
  <mergeCells count="1">
    <mergeCell ref="A2:D2"/>
  </mergeCells>
  <hyperlinks>
    <hyperlink ref="B4" r:id="rId2" display="Debito pubblico trimestrale"/>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U262"/>
  <sheetViews>
    <sheetView showFormulas="false" showGridLines="true" showRowColHeaders="true" showZeros="true" rightToLeft="false" tabSelected="true" showOutlineSymbols="true" defaultGridColor="true" view="normal" topLeftCell="A227" colorId="64" zoomScale="85" zoomScaleNormal="85" zoomScalePageLayoutView="40" workbookViewId="0">
      <selection pane="topLeft" activeCell="F258" activeCellId="0" sqref="1:1048576"/>
    </sheetView>
  </sheetViews>
  <sheetFormatPr defaultColWidth="8.59765625" defaultRowHeight="15" customHeight="false" zeroHeight="false" outlineLevelRow="0" outlineLevelCol="0"/>
  <cols>
    <col collapsed="false" customWidth="true" hidden="false" outlineLevel="0" max="1" min="1" style="0" width="28.72"/>
    <col collapsed="false" customWidth="true" hidden="false" outlineLevel="0" max="2" min="2" style="0" width="33"/>
    <col collapsed="false" customWidth="true" hidden="false" outlineLevel="0" max="3" min="3" style="0" width="20.14"/>
    <col collapsed="false" customWidth="true" hidden="false" outlineLevel="0" max="4" min="4" style="0" width="23.28"/>
    <col collapsed="false" customWidth="true" hidden="false" outlineLevel="0" max="5" min="5" style="0" width="18.14"/>
    <col collapsed="false" customWidth="true" hidden="false" outlineLevel="0" max="6" min="6" style="0" width="17"/>
    <col collapsed="false" customWidth="true" hidden="false" outlineLevel="0" max="8" min="7" style="0" width="16.29"/>
    <col collapsed="false" customWidth="true" hidden="false" outlineLevel="0" max="9" min="9" style="0" width="27.15"/>
    <col collapsed="false" customWidth="true" hidden="false" outlineLevel="0" max="10" min="10" style="0" width="20.29"/>
    <col collapsed="false" customWidth="true" hidden="false" outlineLevel="0" max="11" min="11" style="0" width="18.57"/>
    <col collapsed="false" customWidth="true" hidden="false" outlineLevel="0" max="12" min="12" style="0" width="33.57"/>
    <col collapsed="false" customWidth="true" hidden="false" outlineLevel="0" max="13" min="13" style="0" width="21.14"/>
    <col collapsed="false" customWidth="true" hidden="false" outlineLevel="0" max="14" min="14" style="0" width="13.86"/>
    <col collapsed="false" customWidth="true" hidden="false" outlineLevel="0" max="15" min="15" style="0" width="13.57"/>
    <col collapsed="false" customWidth="true" hidden="false" outlineLevel="0" max="16" min="16" style="0" width="15.57"/>
    <col collapsed="false" customWidth="true" hidden="false" outlineLevel="0" max="17" min="17" style="0" width="15.28"/>
    <col collapsed="false" customWidth="true" hidden="false" outlineLevel="0" max="18" min="18" style="0" width="14"/>
    <col collapsed="false" customWidth="true" hidden="false" outlineLevel="0" max="19" min="19" style="0" width="14.86"/>
  </cols>
  <sheetData>
    <row r="1" customFormat="false" ht="15" hidden="false" customHeight="false" outlineLevel="0" collapsed="false">
      <c r="A1" s="5" t="s">
        <v>0</v>
      </c>
    </row>
    <row r="4" customFormat="false" ht="15" hidden="false" customHeight="false" outlineLevel="0" collapsed="false">
      <c r="A4" s="2" t="s">
        <v>1</v>
      </c>
      <c r="B4" s="4" t="s">
        <v>2</v>
      </c>
    </row>
    <row r="5" customFormat="false" ht="15" hidden="false" customHeight="false" outlineLevel="0" collapsed="false">
      <c r="A5" s="2" t="s">
        <v>3</v>
      </c>
      <c r="B5" s="4" t="s">
        <v>4</v>
      </c>
    </row>
    <row r="6" customFormat="false" ht="15" hidden="false" customHeight="false" outlineLevel="0" collapsed="false">
      <c r="A6" s="2" t="s">
        <v>5</v>
      </c>
      <c r="B6" s="0" t="s">
        <v>6</v>
      </c>
      <c r="C6" s="4"/>
    </row>
    <row r="7" customFormat="false" ht="15" hidden="false" customHeight="false" outlineLevel="0" collapsed="false">
      <c r="A7" s="2" t="s">
        <v>7</v>
      </c>
      <c r="B7" s="0" t="s">
        <v>8</v>
      </c>
      <c r="C7" s="4"/>
    </row>
    <row r="8" customFormat="false" ht="15" hidden="false" customHeight="false" outlineLevel="0" collapsed="false">
      <c r="A8" s="2"/>
      <c r="C8" s="4"/>
    </row>
    <row r="9" customFormat="false" ht="15" hidden="false" customHeight="false" outlineLevel="0" collapsed="false">
      <c r="A9" s="2"/>
      <c r="C9" s="4"/>
    </row>
    <row r="10" customFormat="false" ht="15" hidden="false" customHeight="false" outlineLevel="0" collapsed="false">
      <c r="A10" s="2"/>
      <c r="C10" s="4"/>
    </row>
    <row r="11" customFormat="false" ht="15" hidden="false" customHeight="false" outlineLevel="0" collapsed="false">
      <c r="A11" s="2"/>
      <c r="C11" s="4"/>
    </row>
    <row r="12" customFormat="false" ht="15" hidden="false" customHeight="false" outlineLevel="0" collapsed="false">
      <c r="A12" s="2"/>
      <c r="C12" s="4"/>
    </row>
    <row r="13" customFormat="false" ht="15" hidden="false" customHeight="false" outlineLevel="0" collapsed="false">
      <c r="A13" s="2"/>
      <c r="C13" s="4"/>
    </row>
    <row r="14" customFormat="false" ht="15" hidden="false" customHeight="false" outlineLevel="0" collapsed="false">
      <c r="A14" s="2"/>
      <c r="C14" s="4"/>
    </row>
    <row r="15" customFormat="false" ht="15" hidden="false" customHeight="false" outlineLevel="0" collapsed="false">
      <c r="A15" s="2"/>
      <c r="C15" s="4"/>
    </row>
    <row r="16" customFormat="false" ht="15" hidden="false" customHeight="false" outlineLevel="0" collapsed="false">
      <c r="A16" s="2"/>
      <c r="C16" s="4"/>
    </row>
    <row r="17" customFormat="false" ht="15" hidden="false" customHeight="false" outlineLevel="0" collapsed="false">
      <c r="A17" s="2"/>
      <c r="C17" s="4"/>
    </row>
    <row r="18" customFormat="false" ht="15" hidden="false" customHeight="false" outlineLevel="0" collapsed="false">
      <c r="A18" s="2"/>
      <c r="C18" s="4"/>
    </row>
    <row r="19" customFormat="false" ht="15" hidden="false" customHeight="false" outlineLevel="0" collapsed="false">
      <c r="A19" s="6" t="s">
        <v>9</v>
      </c>
      <c r="B19" s="7" t="s">
        <v>10</v>
      </c>
      <c r="C19" s="7" t="s">
        <v>11</v>
      </c>
      <c r="D19" s="7" t="s">
        <v>12</v>
      </c>
      <c r="E19" s="7" t="s">
        <v>13</v>
      </c>
      <c r="F19" s="8" t="s">
        <v>14</v>
      </c>
      <c r="G19" s="7" t="s">
        <v>15</v>
      </c>
      <c r="H19" s="9"/>
      <c r="I19" s="9"/>
      <c r="J19" s="9"/>
      <c r="L19" s="9"/>
      <c r="M19" s="9"/>
      <c r="N19" s="9"/>
      <c r="O19" s="9"/>
      <c r="P19" s="9"/>
      <c r="Q19" s="9"/>
      <c r="R19" s="9"/>
    </row>
    <row r="20" customFormat="false" ht="15" hidden="false" customHeight="false" outlineLevel="0" collapsed="false">
      <c r="A20" s="10" t="s">
        <v>16</v>
      </c>
      <c r="B20" s="11" t="n">
        <v>6712920.8</v>
      </c>
      <c r="C20" s="10" t="n">
        <v>1613974.4</v>
      </c>
      <c r="D20" s="10" t="n">
        <v>398734</v>
      </c>
      <c r="E20" s="10" t="n">
        <v>1244508.9</v>
      </c>
      <c r="F20" s="12" t="n">
        <v>1686726.2</v>
      </c>
      <c r="G20" s="10" t="n">
        <v>2822.5</v>
      </c>
      <c r="H20" s="9"/>
      <c r="I20" s="9"/>
      <c r="K20" s="9"/>
      <c r="L20" s="13"/>
      <c r="M20" s="9"/>
      <c r="N20" s="9"/>
      <c r="O20" s="9"/>
      <c r="P20" s="9"/>
      <c r="Q20" s="9"/>
      <c r="R20" s="9"/>
    </row>
    <row r="21" customFormat="false" ht="15" hidden="false" customHeight="false" outlineLevel="0" collapsed="false">
      <c r="A21" s="10" t="s">
        <v>17</v>
      </c>
      <c r="B21" s="11" t="n">
        <v>6801412</v>
      </c>
      <c r="C21" s="10" t="n">
        <v>1632335.5</v>
      </c>
      <c r="D21" s="10" t="n">
        <v>400012</v>
      </c>
      <c r="E21" s="10" t="n">
        <v>1277565</v>
      </c>
      <c r="F21" s="12" t="n">
        <v>1701397.6</v>
      </c>
      <c r="G21" s="10" t="n">
        <v>3016.2</v>
      </c>
      <c r="H21" s="9"/>
      <c r="I21" s="9"/>
      <c r="M21" s="9"/>
      <c r="N21" s="9"/>
      <c r="O21" s="9"/>
      <c r="P21" s="9"/>
      <c r="Q21" s="9"/>
      <c r="R21" s="9"/>
      <c r="ER21" s="9"/>
      <c r="ES21" s="9"/>
      <c r="ET21" s="9"/>
    </row>
    <row r="22" customFormat="false" ht="15" hidden="false" customHeight="false" outlineLevel="0" collapsed="false">
      <c r="A22" s="10" t="s">
        <v>18</v>
      </c>
      <c r="B22" s="11" t="n">
        <v>6793490.4</v>
      </c>
      <c r="C22" s="10" t="n">
        <v>1612995</v>
      </c>
      <c r="D22" s="10" t="n">
        <v>391300</v>
      </c>
      <c r="E22" s="10" t="n">
        <v>1280494.8</v>
      </c>
      <c r="F22" s="12" t="n">
        <v>1700613.2</v>
      </c>
      <c r="G22" s="10" t="n">
        <v>3018.6</v>
      </c>
      <c r="H22" s="9"/>
      <c r="I22" s="9"/>
      <c r="M22" s="9"/>
      <c r="N22" s="9"/>
      <c r="O22" s="9"/>
      <c r="P22" s="9"/>
      <c r="Q22" s="9"/>
      <c r="R22" s="9"/>
      <c r="ER22" s="9"/>
      <c r="ES22" s="9"/>
      <c r="ET22" s="9"/>
    </row>
    <row r="23" customFormat="false" ht="15" hidden="false" customHeight="false" outlineLevel="0" collapsed="false">
      <c r="A23" s="10" t="s">
        <v>19</v>
      </c>
      <c r="B23" s="11" t="n">
        <v>6728775.4</v>
      </c>
      <c r="C23" s="10" t="n">
        <v>1619064.6</v>
      </c>
      <c r="D23" s="10" t="n">
        <v>384662</v>
      </c>
      <c r="E23" s="10" t="n">
        <v>1268858.7</v>
      </c>
      <c r="F23" s="12" t="n">
        <v>1677724.7</v>
      </c>
      <c r="G23" s="10" t="n">
        <v>3045.9</v>
      </c>
      <c r="H23" s="9"/>
      <c r="I23" s="9"/>
      <c r="M23" s="9"/>
      <c r="N23" s="9"/>
      <c r="O23" s="9"/>
      <c r="P23" s="9"/>
      <c r="Q23" s="9"/>
      <c r="R23" s="9"/>
      <c r="ER23" s="9"/>
      <c r="ES23" s="9"/>
      <c r="ET23" s="9"/>
    </row>
    <row r="24" customFormat="false" ht="15" hidden="false" customHeight="false" outlineLevel="0" collapsed="false">
      <c r="A24" s="10" t="s">
        <v>20</v>
      </c>
      <c r="B24" s="11" t="n">
        <v>6865601.1</v>
      </c>
      <c r="C24" s="10" t="n">
        <v>1637561.7</v>
      </c>
      <c r="D24" s="10" t="n">
        <v>380270</v>
      </c>
      <c r="E24" s="10" t="n">
        <v>1311092.4</v>
      </c>
      <c r="F24" s="12" t="n">
        <v>1726515.8</v>
      </c>
      <c r="G24" s="10" t="n">
        <v>3254.5</v>
      </c>
      <c r="H24" s="9"/>
      <c r="I24" s="9"/>
      <c r="M24" s="9"/>
      <c r="N24" s="9"/>
      <c r="O24" s="9"/>
      <c r="P24" s="9"/>
      <c r="Q24" s="9"/>
      <c r="R24" s="9"/>
      <c r="ER24" s="9"/>
      <c r="ES24" s="9"/>
      <c r="ET24" s="9"/>
    </row>
    <row r="25" customFormat="false" ht="15" hidden="false" customHeight="false" outlineLevel="0" collapsed="false">
      <c r="A25" s="10" t="s">
        <v>21</v>
      </c>
      <c r="B25" s="11" t="n">
        <v>6973257.3</v>
      </c>
      <c r="C25" s="10" t="n">
        <v>1673210.6</v>
      </c>
      <c r="D25" s="10" t="n">
        <v>390638</v>
      </c>
      <c r="E25" s="10" t="n">
        <v>1330957.1</v>
      </c>
      <c r="F25" s="12" t="n">
        <v>1729967.5</v>
      </c>
      <c r="G25" s="10" t="n">
        <v>3297.7</v>
      </c>
      <c r="H25" s="9"/>
      <c r="I25" s="9"/>
      <c r="M25" s="9"/>
      <c r="N25" s="9"/>
      <c r="O25" s="9"/>
      <c r="P25" s="9"/>
      <c r="Q25" s="9"/>
      <c r="R25" s="9"/>
      <c r="ER25" s="9"/>
      <c r="ES25" s="9"/>
      <c r="ET25" s="9"/>
    </row>
    <row r="26" customFormat="false" ht="16.5" hidden="false" customHeight="true" outlineLevel="0" collapsed="false">
      <c r="A26" s="10" t="s">
        <v>22</v>
      </c>
      <c r="B26" s="11" t="n">
        <v>7019601.4</v>
      </c>
      <c r="C26" s="10" t="n">
        <v>1668645.1</v>
      </c>
      <c r="D26" s="10" t="n">
        <v>403722</v>
      </c>
      <c r="E26" s="10" t="n">
        <v>1348710.1</v>
      </c>
      <c r="F26" s="12" t="n">
        <v>1725417.1</v>
      </c>
      <c r="G26" s="10" t="n">
        <v>3304.9</v>
      </c>
      <c r="H26" s="9"/>
      <c r="I26" s="9"/>
      <c r="M26" s="9"/>
      <c r="N26" s="9"/>
      <c r="O26" s="9"/>
      <c r="P26" s="9"/>
      <c r="Q26" s="9"/>
      <c r="R26" s="9"/>
      <c r="ER26" s="9"/>
      <c r="ES26" s="9"/>
      <c r="ET26" s="9"/>
    </row>
    <row r="27" customFormat="false" ht="15" hidden="false" customHeight="false" outlineLevel="0" collapsed="false">
      <c r="A27" s="10" t="s">
        <v>23</v>
      </c>
      <c r="B27" s="11" t="n">
        <v>7249226.5</v>
      </c>
      <c r="C27" s="10" t="n">
        <v>1687442</v>
      </c>
      <c r="D27" s="10" t="n">
        <v>440621</v>
      </c>
      <c r="E27" s="10" t="n">
        <v>1389401.6</v>
      </c>
      <c r="F27" s="12" t="n">
        <v>1738851.1</v>
      </c>
      <c r="G27" s="10" t="n">
        <v>5852.4</v>
      </c>
      <c r="H27" s="9"/>
      <c r="I27" s="9" t="s">
        <v>24</v>
      </c>
      <c r="J27" s="9"/>
      <c r="K27" s="9"/>
      <c r="L27" s="9"/>
      <c r="M27" s="9"/>
      <c r="N27" s="9"/>
      <c r="O27" s="9"/>
      <c r="P27" s="9"/>
      <c r="Q27" s="9"/>
      <c r="R27" s="9"/>
      <c r="ER27" s="9"/>
      <c r="ES27" s="9"/>
      <c r="ET27" s="9"/>
    </row>
    <row r="28" customFormat="false" ht="15" hidden="false" customHeight="false" outlineLevel="0" collapsed="false">
      <c r="A28" s="10" t="s">
        <v>25</v>
      </c>
      <c r="B28" s="11" t="n">
        <v>7546208.8</v>
      </c>
      <c r="C28" s="10" t="n">
        <v>1717521.1</v>
      </c>
      <c r="D28" s="10" t="n">
        <v>473710</v>
      </c>
      <c r="E28" s="10" t="n">
        <v>1472910.6</v>
      </c>
      <c r="F28" s="12" t="n">
        <v>1817403.7</v>
      </c>
      <c r="G28" s="10" t="n">
        <v>6010.2</v>
      </c>
      <c r="H28" s="9"/>
      <c r="I28" s="9"/>
      <c r="J28" s="9"/>
      <c r="K28" s="9"/>
      <c r="L28" s="9"/>
      <c r="M28" s="9"/>
      <c r="N28" s="9"/>
      <c r="O28" s="9"/>
      <c r="P28" s="9"/>
      <c r="Q28" s="9"/>
      <c r="R28" s="9"/>
      <c r="ER28" s="9"/>
      <c r="ES28" s="9"/>
      <c r="ET28" s="9"/>
    </row>
    <row r="29" customFormat="false" ht="15" hidden="false" customHeight="false" outlineLevel="0" collapsed="false">
      <c r="A29" s="10" t="s">
        <v>26</v>
      </c>
      <c r="B29" s="11" t="n">
        <v>7811322.1</v>
      </c>
      <c r="C29" s="10" t="n">
        <v>1783016.1</v>
      </c>
      <c r="D29" s="10" t="n">
        <v>511173</v>
      </c>
      <c r="E29" s="10" t="n">
        <v>1561745.9</v>
      </c>
      <c r="F29" s="12" t="n">
        <v>1829545.6</v>
      </c>
      <c r="G29" s="10" t="n">
        <v>6040.6</v>
      </c>
      <c r="H29" s="9"/>
      <c r="I29" s="9"/>
      <c r="J29" s="9"/>
      <c r="K29" s="9"/>
      <c r="L29" s="9"/>
      <c r="M29" s="9"/>
      <c r="N29" s="9"/>
      <c r="O29" s="9"/>
      <c r="P29" s="9"/>
      <c r="Q29" s="9"/>
      <c r="R29" s="9"/>
      <c r="ER29" s="9"/>
      <c r="ES29" s="9"/>
      <c r="ET29" s="9"/>
    </row>
    <row r="30" customFormat="false" ht="15" hidden="false" customHeight="false" outlineLevel="0" collapsed="false">
      <c r="A30" s="10" t="s">
        <v>27</v>
      </c>
      <c r="B30" s="11" t="n">
        <v>7973928.9</v>
      </c>
      <c r="C30" s="10" t="n">
        <v>1791086.9</v>
      </c>
      <c r="D30" s="10" t="n">
        <v>533678</v>
      </c>
      <c r="E30" s="10" t="n">
        <v>1601408.3</v>
      </c>
      <c r="F30" s="12" t="n">
        <v>1865426.8</v>
      </c>
      <c r="G30" s="10" t="n">
        <v>6153.7</v>
      </c>
      <c r="H30" s="9"/>
      <c r="I30" s="9"/>
      <c r="J30" s="9"/>
      <c r="K30" s="9"/>
      <c r="L30" s="9"/>
      <c r="M30" s="9"/>
      <c r="N30" s="9"/>
      <c r="O30" s="9"/>
      <c r="P30" s="9"/>
      <c r="Q30" s="9"/>
      <c r="R30" s="9"/>
      <c r="ER30" s="9"/>
      <c r="ES30" s="9"/>
      <c r="ET30" s="9"/>
    </row>
    <row r="31" customFormat="false" ht="15" hidden="false" customHeight="false" outlineLevel="0" collapsed="false">
      <c r="A31" s="10" t="s">
        <v>28</v>
      </c>
      <c r="B31" s="11" t="n">
        <v>8066255.7</v>
      </c>
      <c r="C31" s="10" t="n">
        <v>1804696</v>
      </c>
      <c r="D31" s="10" t="n">
        <v>569535</v>
      </c>
      <c r="E31" s="10" t="n">
        <v>1627182.2</v>
      </c>
      <c r="F31" s="12" t="n">
        <v>1839486.4</v>
      </c>
      <c r="G31" s="10" t="n">
        <v>5969</v>
      </c>
      <c r="H31" s="9"/>
      <c r="I31" s="9"/>
      <c r="J31" s="9"/>
      <c r="K31" s="9"/>
      <c r="L31" s="9"/>
      <c r="M31" s="9"/>
      <c r="N31" s="9"/>
      <c r="O31" s="9"/>
      <c r="P31" s="9"/>
      <c r="Q31" s="9"/>
      <c r="R31" s="9"/>
      <c r="ER31" s="9"/>
      <c r="ES31" s="9"/>
      <c r="ET31" s="9"/>
    </row>
    <row r="32" customFormat="false" ht="15" hidden="false" customHeight="false" outlineLevel="0" collapsed="false">
      <c r="A32" s="10" t="s">
        <v>29</v>
      </c>
      <c r="B32" s="11" t="n">
        <v>8290391.5</v>
      </c>
      <c r="C32" s="10" t="n">
        <v>1824334.3</v>
      </c>
      <c r="D32" s="10" t="n">
        <v>586851</v>
      </c>
      <c r="E32" s="10" t="n">
        <v>1672652.4</v>
      </c>
      <c r="F32" s="12" t="n">
        <v>1876411.9</v>
      </c>
      <c r="G32" s="10" t="n">
        <v>6113.2</v>
      </c>
      <c r="H32" s="9"/>
      <c r="I32" s="9"/>
      <c r="J32" s="9"/>
      <c r="K32" s="9"/>
      <c r="L32" s="9"/>
      <c r="M32" s="9"/>
      <c r="N32" s="9"/>
      <c r="O32" s="9"/>
      <c r="P32" s="9"/>
      <c r="Q32" s="9"/>
      <c r="R32" s="9"/>
      <c r="ER32" s="9"/>
      <c r="ES32" s="9"/>
      <c r="ET32" s="9"/>
    </row>
    <row r="33" customFormat="false" ht="15" hidden="false" customHeight="false" outlineLevel="0" collapsed="false">
      <c r="A33" s="10" t="s">
        <v>30</v>
      </c>
      <c r="B33" s="11" t="n">
        <v>8476370.6</v>
      </c>
      <c r="C33" s="10" t="n">
        <v>1865708.4</v>
      </c>
      <c r="D33" s="10" t="n">
        <v>609032</v>
      </c>
      <c r="E33" s="10" t="n">
        <v>1730926.2</v>
      </c>
      <c r="F33" s="12" t="n">
        <v>1900770.5</v>
      </c>
      <c r="G33" s="10" t="n">
        <v>8149.3</v>
      </c>
      <c r="H33" s="9"/>
      <c r="I33" s="9"/>
      <c r="J33" s="9"/>
      <c r="K33" s="9"/>
      <c r="L33" s="9"/>
      <c r="M33" s="9"/>
      <c r="N33" s="9"/>
      <c r="O33" s="9"/>
      <c r="P33" s="9"/>
      <c r="Q33" s="9"/>
      <c r="R33" s="9"/>
      <c r="ER33" s="9"/>
      <c r="ES33" s="9"/>
      <c r="ET33" s="9"/>
    </row>
    <row r="34" customFormat="false" ht="15" hidden="false" customHeight="false" outlineLevel="0" collapsed="false">
      <c r="A34" s="10" t="s">
        <v>31</v>
      </c>
      <c r="B34" s="11" t="n">
        <v>8580057.7</v>
      </c>
      <c r="C34" s="10" t="n">
        <v>1891869.7</v>
      </c>
      <c r="D34" s="10" t="n">
        <v>620541</v>
      </c>
      <c r="E34" s="10" t="n">
        <v>1710061.3</v>
      </c>
      <c r="F34" s="12" t="n">
        <v>1921133.5</v>
      </c>
      <c r="G34" s="10" t="n">
        <v>8206.3</v>
      </c>
      <c r="H34" s="9"/>
      <c r="I34" s="9"/>
      <c r="J34" s="9"/>
      <c r="K34" s="9"/>
      <c r="L34" s="9"/>
      <c r="M34" s="9"/>
      <c r="N34" s="9"/>
      <c r="O34" s="9"/>
      <c r="P34" s="9"/>
      <c r="Q34" s="9"/>
      <c r="R34" s="9"/>
      <c r="ER34" s="9"/>
      <c r="ES34" s="9"/>
      <c r="ET34" s="9"/>
    </row>
    <row r="35" customFormat="false" ht="15" hidden="false" customHeight="false" outlineLevel="0" collapsed="false">
      <c r="A35" s="10" t="s">
        <v>32</v>
      </c>
      <c r="B35" s="11" t="n">
        <v>8880738.8</v>
      </c>
      <c r="C35" s="10" t="n">
        <v>2119241.8</v>
      </c>
      <c r="D35" s="10" t="n">
        <v>649153</v>
      </c>
      <c r="E35" s="10" t="n">
        <v>1722172.2</v>
      </c>
      <c r="F35" s="12" t="n">
        <v>1921100.2</v>
      </c>
      <c r="G35" s="10" t="n">
        <v>8094.5</v>
      </c>
      <c r="H35" s="9"/>
      <c r="I35" s="9"/>
      <c r="J35" s="9"/>
      <c r="K35" s="9"/>
      <c r="L35" s="9"/>
      <c r="M35" s="9"/>
      <c r="N35" s="9"/>
      <c r="O35" s="9"/>
      <c r="P35" s="9"/>
      <c r="Q35" s="9"/>
      <c r="R35" s="9"/>
      <c r="ER35" s="9"/>
      <c r="ES35" s="9"/>
      <c r="ET35" s="9"/>
    </row>
    <row r="36" customFormat="false" ht="15" hidden="false" customHeight="false" outlineLevel="0" collapsed="false">
      <c r="A36" s="9"/>
      <c r="B36" s="9"/>
      <c r="C36" s="9"/>
      <c r="D36" s="9"/>
      <c r="E36" s="9"/>
      <c r="F36" s="9"/>
      <c r="G36" s="9"/>
      <c r="H36" s="9"/>
      <c r="I36" s="9"/>
      <c r="J36" s="9"/>
      <c r="K36" s="9"/>
      <c r="L36" s="9"/>
      <c r="M36" s="9"/>
      <c r="N36" s="9"/>
      <c r="O36" s="9"/>
      <c r="P36" s="9"/>
      <c r="Q36" s="9"/>
      <c r="R36" s="9"/>
      <c r="S36" s="9"/>
      <c r="ER36" s="9"/>
      <c r="ES36" s="9"/>
      <c r="ET36" s="9"/>
    </row>
    <row r="37" customFormat="false" ht="15" hidden="false" customHeight="false" outlineLevel="0" collapsed="false">
      <c r="A37" s="9"/>
      <c r="B37" s="9"/>
      <c r="C37" s="9"/>
      <c r="D37" s="9"/>
      <c r="E37" s="9"/>
      <c r="F37" s="9"/>
      <c r="G37" s="9"/>
      <c r="H37" s="9"/>
      <c r="I37" s="9"/>
      <c r="J37" s="9"/>
      <c r="K37" s="9"/>
      <c r="L37" s="9"/>
      <c r="M37" s="9"/>
      <c r="N37" s="9"/>
      <c r="O37" s="9"/>
      <c r="P37" s="9"/>
      <c r="Q37" s="9"/>
      <c r="R37" s="9"/>
      <c r="S37" s="9"/>
      <c r="ER37" s="9"/>
      <c r="ES37" s="9"/>
      <c r="ET37" s="9"/>
    </row>
    <row r="38" customFormat="false" ht="16.4" hidden="false" customHeight="false" outlineLevel="0" collapsed="false">
      <c r="A38" s="14" t="s">
        <v>33</v>
      </c>
      <c r="B38" s="14"/>
      <c r="C38" s="14"/>
      <c r="D38" s="14"/>
      <c r="E38" s="14"/>
      <c r="F38" s="14"/>
      <c r="G38" s="14"/>
      <c r="H38" s="9"/>
      <c r="I38" s="14" t="s">
        <v>34</v>
      </c>
      <c r="J38" s="14"/>
      <c r="K38" s="14"/>
      <c r="L38" s="14"/>
      <c r="M38" s="14"/>
      <c r="N38" s="14"/>
      <c r="O38" s="14"/>
      <c r="P38" s="9"/>
      <c r="Q38" s="9"/>
      <c r="R38" s="9"/>
      <c r="S38" s="9"/>
      <c r="ER38" s="9"/>
      <c r="ES38" s="9"/>
      <c r="ET38" s="9"/>
      <c r="EU38" s="9"/>
    </row>
    <row r="39" customFormat="false" ht="15" hidden="false" customHeight="false" outlineLevel="0" collapsed="false">
      <c r="A39" s="15"/>
      <c r="B39" s="14"/>
      <c r="C39" s="14"/>
      <c r="D39" s="14"/>
      <c r="E39" s="14"/>
      <c r="F39" s="14"/>
      <c r="G39" s="14"/>
      <c r="H39" s="9"/>
      <c r="I39" s="14"/>
      <c r="J39" s="14"/>
      <c r="K39" s="14"/>
      <c r="L39" s="14"/>
      <c r="M39" s="14"/>
      <c r="N39" s="14"/>
      <c r="O39" s="14"/>
      <c r="P39" s="9"/>
      <c r="Q39" s="9"/>
      <c r="R39" s="9"/>
      <c r="S39" s="9"/>
      <c r="ER39" s="9"/>
      <c r="ES39" s="9"/>
      <c r="ET39" s="9"/>
      <c r="EU39" s="9"/>
    </row>
    <row r="40" customFormat="false" ht="15" hidden="false" customHeight="false" outlineLevel="0" collapsed="false">
      <c r="A40" s="6" t="s">
        <v>9</v>
      </c>
      <c r="B40" s="7" t="s">
        <v>10</v>
      </c>
      <c r="C40" s="7" t="s">
        <v>11</v>
      </c>
      <c r="D40" s="7" t="s">
        <v>12</v>
      </c>
      <c r="E40" s="7" t="s">
        <v>13</v>
      </c>
      <c r="F40" s="7" t="s">
        <v>14</v>
      </c>
      <c r="G40" s="7" t="s">
        <v>15</v>
      </c>
      <c r="H40" s="9"/>
      <c r="I40" s="6" t="s">
        <v>9</v>
      </c>
      <c r="J40" s="7" t="s">
        <v>10</v>
      </c>
      <c r="K40" s="7" t="s">
        <v>11</v>
      </c>
      <c r="L40" s="7" t="s">
        <v>12</v>
      </c>
      <c r="M40" s="7" t="s">
        <v>13</v>
      </c>
      <c r="N40" s="7" t="s">
        <v>14</v>
      </c>
      <c r="O40" s="7" t="s">
        <v>15</v>
      </c>
      <c r="P40" s="9"/>
      <c r="Q40" s="9"/>
      <c r="R40" s="9"/>
      <c r="ER40" s="9"/>
      <c r="ES40" s="9"/>
      <c r="ET40" s="9"/>
      <c r="EU40" s="9"/>
    </row>
    <row r="41" customFormat="false" ht="15" hidden="false" customHeight="false" outlineLevel="0" collapsed="false">
      <c r="A41" s="10" t="s">
        <v>16</v>
      </c>
      <c r="B41" s="16" t="n">
        <f aca="false">B20/$B$20*100</f>
        <v>100</v>
      </c>
      <c r="C41" s="16" t="n">
        <f aca="false">C20/$C$20*100</f>
        <v>100</v>
      </c>
      <c r="D41" s="16" t="n">
        <f aca="false">D20/$D$20*100</f>
        <v>100</v>
      </c>
      <c r="E41" s="16" t="n">
        <f aca="false">E20/$E$20*100</f>
        <v>100</v>
      </c>
      <c r="F41" s="16" t="n">
        <f aca="false">F20/$F$20*100</f>
        <v>100</v>
      </c>
      <c r="G41" s="16" t="n">
        <f aca="false">G20/$G$20*100</f>
        <v>100</v>
      </c>
      <c r="H41" s="9"/>
      <c r="I41" s="10" t="s">
        <v>16</v>
      </c>
      <c r="J41" s="17" t="s">
        <v>35</v>
      </c>
      <c r="K41" s="17" t="s">
        <v>35</v>
      </c>
      <c r="L41" s="17" t="s">
        <v>35</v>
      </c>
      <c r="M41" s="17" t="s">
        <v>35</v>
      </c>
      <c r="N41" s="17" t="s">
        <v>35</v>
      </c>
      <c r="O41" s="17" t="s">
        <v>35</v>
      </c>
      <c r="P41" s="9"/>
      <c r="Q41" s="9"/>
      <c r="R41" s="9"/>
      <c r="ER41" s="9"/>
      <c r="ES41" s="9"/>
      <c r="ET41" s="9"/>
      <c r="EU41" s="9"/>
    </row>
    <row r="42" customFormat="false" ht="15" hidden="false" customHeight="false" outlineLevel="0" collapsed="false">
      <c r="A42" s="10" t="s">
        <v>17</v>
      </c>
      <c r="B42" s="16" t="n">
        <f aca="false">B21/$B$20*100</f>
        <v>101.318222017456</v>
      </c>
      <c r="C42" s="16" t="n">
        <f aca="false">C21/$C$20*100</f>
        <v>101.137632666293</v>
      </c>
      <c r="D42" s="16" t="n">
        <f aca="false">D21/$D$20*100</f>
        <v>100.320514428165</v>
      </c>
      <c r="E42" s="16" t="n">
        <f aca="false">E21/$E$20*100</f>
        <v>102.65615617534</v>
      </c>
      <c r="F42" s="16" t="n">
        <f aca="false">F21/$F$20*100</f>
        <v>100.869815148422</v>
      </c>
      <c r="G42" s="16" t="n">
        <f aca="false">G21/$G$20*100</f>
        <v>106.862710363153</v>
      </c>
      <c r="H42" s="9"/>
      <c r="I42" s="10" t="s">
        <v>17</v>
      </c>
      <c r="J42" s="18" t="n">
        <f aca="false">B21/B20*100</f>
        <v>101.318222017456</v>
      </c>
      <c r="K42" s="16" t="n">
        <f aca="false">C21/C20*100</f>
        <v>101.137632666293</v>
      </c>
      <c r="L42" s="16" t="n">
        <f aca="false">D21/D20*100</f>
        <v>100.320514428165</v>
      </c>
      <c r="M42" s="16" t="n">
        <f aca="false">E21/E20*100</f>
        <v>102.65615617534</v>
      </c>
      <c r="N42" s="16" t="n">
        <f aca="false">F21/F20*100</f>
        <v>100.869815148422</v>
      </c>
      <c r="O42" s="16" t="n">
        <f aca="false">G21/G20*100</f>
        <v>106.862710363153</v>
      </c>
      <c r="P42" s="9"/>
      <c r="Q42" s="9"/>
      <c r="R42" s="9"/>
      <c r="ER42" s="9"/>
      <c r="ES42" s="9"/>
      <c r="ET42" s="9"/>
    </row>
    <row r="43" customFormat="false" ht="15" hidden="false" customHeight="false" outlineLevel="0" collapsed="false">
      <c r="A43" s="10" t="s">
        <v>18</v>
      </c>
      <c r="B43" s="16" t="n">
        <f aca="false">B22/$B$20*100</f>
        <v>101.200216752148</v>
      </c>
      <c r="C43" s="19" t="n">
        <f aca="false">C22/$C$20*100</f>
        <v>99.9393175009467</v>
      </c>
      <c r="D43" s="19" t="n">
        <f aca="false">D22/$D$20*100</f>
        <v>98.1355991713774</v>
      </c>
      <c r="E43" s="16" t="n">
        <f aca="false">E22/$E$20*100</f>
        <v>102.891574339083</v>
      </c>
      <c r="F43" s="16" t="n">
        <f aca="false">F22/$F$20*100</f>
        <v>100.823310861004</v>
      </c>
      <c r="G43" s="16" t="n">
        <f aca="false">G22/$G$20*100</f>
        <v>106.947741364039</v>
      </c>
      <c r="H43" s="9"/>
      <c r="I43" s="10" t="s">
        <v>18</v>
      </c>
      <c r="J43" s="18" t="n">
        <f aca="false">B22/B21*100</f>
        <v>99.883530066992</v>
      </c>
      <c r="K43" s="16" t="n">
        <f aca="false">C22/C21*100</f>
        <v>98.8151639169766</v>
      </c>
      <c r="L43" s="16" t="n">
        <f aca="false">D22/D21*100</f>
        <v>97.8220653380399</v>
      </c>
      <c r="M43" s="16" t="n">
        <f aca="false">E22/E21*100</f>
        <v>100.229326883564</v>
      </c>
      <c r="N43" s="16" t="n">
        <f aca="false">F22/F21*100</f>
        <v>99.9538967258447</v>
      </c>
      <c r="O43" s="16" t="n">
        <f aca="false">G22/G21*100</f>
        <v>100.079570320271</v>
      </c>
      <c r="P43" s="9"/>
      <c r="Q43" s="9"/>
      <c r="R43" s="9"/>
      <c r="ER43" s="9"/>
      <c r="ES43" s="9"/>
      <c r="ET43" s="9"/>
    </row>
    <row r="44" customFormat="false" ht="15" hidden="false" customHeight="false" outlineLevel="0" collapsed="false">
      <c r="A44" s="10" t="s">
        <v>19</v>
      </c>
      <c r="B44" s="16" t="n">
        <f aca="false">B23/$B$20*100</f>
        <v>100.236180352374</v>
      </c>
      <c r="C44" s="16" t="n">
        <f aca="false">C23/$C$20*100</f>
        <v>100.315382945355</v>
      </c>
      <c r="D44" s="16" t="n">
        <f aca="false">D23/$D$20*100</f>
        <v>96.4708301775118</v>
      </c>
      <c r="E44" s="16" t="n">
        <f aca="false">E23/$E$20*100</f>
        <v>101.956579016831</v>
      </c>
      <c r="F44" s="19" t="n">
        <f aca="false">F23/$F$20*100</f>
        <v>99.4663330657934</v>
      </c>
      <c r="G44" s="16" t="n">
        <f aca="false">G23/$G$20*100</f>
        <v>107.914968999114</v>
      </c>
      <c r="H44" s="9"/>
      <c r="I44" s="10" t="s">
        <v>19</v>
      </c>
      <c r="J44" s="20" t="n">
        <f aca="false">B23/B22*100</f>
        <v>99.0473969021874</v>
      </c>
      <c r="K44" s="16" t="n">
        <f aca="false">C23/C22*100</f>
        <v>100.376293788883</v>
      </c>
      <c r="L44" s="16" t="n">
        <f aca="false">D23/D22*100</f>
        <v>98.3036033733708</v>
      </c>
      <c r="M44" s="16" t="n">
        <f aca="false">E23/E22*100</f>
        <v>99.0912809642023</v>
      </c>
      <c r="N44" s="16" t="n">
        <f aca="false">F23/F22*100</f>
        <v>98.6541031199805</v>
      </c>
      <c r="O44" s="16" t="n">
        <f aca="false">G23/G22*100</f>
        <v>100.904392764858</v>
      </c>
      <c r="P44" s="9"/>
      <c r="Q44" s="9"/>
      <c r="R44" s="9"/>
      <c r="ER44" s="9"/>
      <c r="ES44" s="9"/>
      <c r="ET44" s="9"/>
    </row>
    <row r="45" customFormat="false" ht="15" hidden="false" customHeight="false" outlineLevel="0" collapsed="false">
      <c r="A45" s="10" t="s">
        <v>20</v>
      </c>
      <c r="B45" s="16" t="n">
        <f aca="false">B24/$B$20*100</f>
        <v>102.274424271474</v>
      </c>
      <c r="C45" s="16" t="n">
        <f aca="false">C24/$C$20*100</f>
        <v>101.461442015437</v>
      </c>
      <c r="D45" s="16" t="n">
        <f aca="false">D24/$D$20*100</f>
        <v>95.3693439736767</v>
      </c>
      <c r="E45" s="16" t="n">
        <f aca="false">E24/$E$20*100</f>
        <v>105.350182710626</v>
      </c>
      <c r="F45" s="16" t="n">
        <f aca="false">F24/$F$20*100</f>
        <v>102.358983929935</v>
      </c>
      <c r="G45" s="16" t="n">
        <f aca="false">G24/$G$20*100</f>
        <v>115.305580159433</v>
      </c>
      <c r="H45" s="9"/>
      <c r="I45" s="10" t="s">
        <v>20</v>
      </c>
      <c r="J45" s="18" t="n">
        <f aca="false">B24/B23*100</f>
        <v>102.033441330201</v>
      </c>
      <c r="K45" s="16" t="n">
        <f aca="false">C24/C23*100</f>
        <v>101.14245595883</v>
      </c>
      <c r="L45" s="16" t="n">
        <f aca="false">D24/D23*100</f>
        <v>98.8582183839319</v>
      </c>
      <c r="M45" s="16" t="n">
        <f aca="false">E24/E23*100</f>
        <v>103.32847936496</v>
      </c>
      <c r="N45" s="16" t="n">
        <f aca="false">F24/F23*100</f>
        <v>102.908170810145</v>
      </c>
      <c r="O45" s="16" t="n">
        <f aca="false">G24/G23*100</f>
        <v>106.848550510522</v>
      </c>
      <c r="P45" s="9"/>
      <c r="Q45" s="9"/>
      <c r="R45" s="9"/>
      <c r="ER45" s="9"/>
      <c r="ES45" s="9"/>
      <c r="ET45" s="9"/>
    </row>
    <row r="46" customFormat="false" ht="15" hidden="false" customHeight="false" outlineLevel="0" collapsed="false">
      <c r="A46" s="10" t="s">
        <v>21</v>
      </c>
      <c r="B46" s="21" t="n">
        <f aca="false">B25/$B$20*100</f>
        <v>103.878140495863</v>
      </c>
      <c r="C46" s="16" t="n">
        <f aca="false">C25/$C$20*100</f>
        <v>103.670206912823</v>
      </c>
      <c r="D46" s="19" t="n">
        <f aca="false">D25/$D$20*100</f>
        <v>97.9695737007629</v>
      </c>
      <c r="E46" s="21" t="n">
        <f aca="false">E25/$E$20*100</f>
        <v>106.94637057236</v>
      </c>
      <c r="F46" s="16" t="n">
        <f aca="false">F25/$F$20*100</f>
        <v>102.563622951965</v>
      </c>
      <c r="G46" s="16" t="n">
        <f aca="false">G25/$G$20*100</f>
        <v>116.836138175376</v>
      </c>
      <c r="H46" s="9"/>
      <c r="I46" s="10" t="s">
        <v>21</v>
      </c>
      <c r="J46" s="18" t="n">
        <f aca="false">B25/B24*100</f>
        <v>101.568052067575</v>
      </c>
      <c r="K46" s="16" t="n">
        <f aca="false">C25/C24*100</f>
        <v>102.176950034921</v>
      </c>
      <c r="L46" s="16" t="n">
        <f aca="false">D25/D24*100</f>
        <v>102.726483814132</v>
      </c>
      <c r="M46" s="16" t="n">
        <f aca="false">E25/E24*100</f>
        <v>101.515125859932</v>
      </c>
      <c r="N46" s="16" t="n">
        <f aca="false">F25/F24*100</f>
        <v>100.19992287357</v>
      </c>
      <c r="O46" s="16" t="n">
        <f aca="false">G25/G24*100</f>
        <v>101.327392840682</v>
      </c>
      <c r="P46" s="9"/>
      <c r="Q46" s="9"/>
      <c r="R46" s="9"/>
      <c r="ER46" s="9"/>
      <c r="ES46" s="9"/>
      <c r="ET46" s="9"/>
    </row>
    <row r="47" customFormat="false" ht="15" hidden="false" customHeight="false" outlineLevel="0" collapsed="false">
      <c r="A47" s="10" t="s">
        <v>22</v>
      </c>
      <c r="B47" s="16" t="n">
        <f aca="false">B26/$B$20*100</f>
        <v>104.568512114727</v>
      </c>
      <c r="C47" s="16" t="n">
        <f aca="false">C26/$C$20*100</f>
        <v>103.387333776794</v>
      </c>
      <c r="D47" s="16" t="n">
        <f aca="false">D26/$D$20*100</f>
        <v>101.250959286141</v>
      </c>
      <c r="E47" s="16" t="n">
        <f aca="false">E26/$E$20*100</f>
        <v>108.37287704411</v>
      </c>
      <c r="F47" s="16" t="n">
        <f aca="false">F26/$F$20*100</f>
        <v>102.29384591287</v>
      </c>
      <c r="G47" s="21" t="n">
        <f aca="false">G26/$G$20*100</f>
        <v>117.091231178034</v>
      </c>
      <c r="H47" s="9"/>
      <c r="I47" s="10" t="s">
        <v>22</v>
      </c>
      <c r="J47" s="18" t="n">
        <f aca="false">B26/B25*100</f>
        <v>100.664597590569</v>
      </c>
      <c r="K47" s="19" t="n">
        <f aca="false">C26/C25*100</f>
        <v>99.7271413413231</v>
      </c>
      <c r="L47" s="16" t="n">
        <f aca="false">D26/D25*100</f>
        <v>103.349392532217</v>
      </c>
      <c r="M47" s="16" t="n">
        <f aca="false">E26/E25*100</f>
        <v>101.33385215797</v>
      </c>
      <c r="N47" s="16" t="n">
        <f aca="false">F26/F25*100</f>
        <v>99.7369661568787</v>
      </c>
      <c r="O47" s="16" t="n">
        <f aca="false">G26/G25*100</f>
        <v>100.218333990357</v>
      </c>
      <c r="P47" s="9"/>
      <c r="Q47" s="9"/>
      <c r="R47" s="9"/>
      <c r="ER47" s="9"/>
      <c r="ES47" s="9"/>
      <c r="ET47" s="9"/>
    </row>
    <row r="48" customFormat="false" ht="15" hidden="false" customHeight="false" outlineLevel="0" collapsed="false">
      <c r="A48" s="10" t="s">
        <v>23</v>
      </c>
      <c r="B48" s="21" t="n">
        <f aca="false">B27/$B$20*100</f>
        <v>107.98915577851</v>
      </c>
      <c r="C48" s="16" t="n">
        <f aca="false">C27/$C$20*100</f>
        <v>104.551968110523</v>
      </c>
      <c r="D48" s="16" t="n">
        <f aca="false">D27/$D$20*100</f>
        <v>110.504998319682</v>
      </c>
      <c r="E48" s="16" t="n">
        <f aca="false">E27/$E$20*100</f>
        <v>111.642560370601</v>
      </c>
      <c r="F48" s="16" t="n">
        <f aca="false">F27/$F$20*100</f>
        <v>103.090300014312</v>
      </c>
      <c r="G48" s="16" t="n">
        <f aca="false">G27/$G$20*100</f>
        <v>207.348095659876</v>
      </c>
      <c r="H48" s="9"/>
      <c r="I48" s="10" t="s">
        <v>23</v>
      </c>
      <c r="J48" s="18" t="n">
        <f aca="false">B27/B26*100</f>
        <v>103.271198561217</v>
      </c>
      <c r="K48" s="16" t="n">
        <f aca="false">C27/C26*100</f>
        <v>101.126476804445</v>
      </c>
      <c r="L48" s="21" t="n">
        <f aca="false">D27/D26*100</f>
        <v>109.13970504456</v>
      </c>
      <c r="M48" s="16" t="n">
        <f aca="false">E27/E26*100</f>
        <v>103.017067937728</v>
      </c>
      <c r="N48" s="16" t="n">
        <f aca="false">F27/F26*100</f>
        <v>100.778594346839</v>
      </c>
      <c r="O48" s="16" t="n">
        <f aca="false">G27/G26*100</f>
        <v>177.082513843081</v>
      </c>
      <c r="P48" s="9"/>
      <c r="Q48" s="9" t="s">
        <v>24</v>
      </c>
      <c r="R48" s="9"/>
      <c r="ER48" s="9"/>
      <c r="ES48" s="9"/>
      <c r="ET48" s="9"/>
    </row>
    <row r="49" customFormat="false" ht="15" hidden="false" customHeight="false" outlineLevel="0" collapsed="false">
      <c r="A49" s="10" t="s">
        <v>25</v>
      </c>
      <c r="B49" s="16" t="n">
        <f aca="false">B28/$B$20*100</f>
        <v>112.413195758246</v>
      </c>
      <c r="C49" s="16" t="n">
        <f aca="false">C28/$C$20*100</f>
        <v>106.415634597426</v>
      </c>
      <c r="D49" s="21" t="n">
        <f aca="false">D28/$D$20*100</f>
        <v>118.803513119022</v>
      </c>
      <c r="E49" s="16" t="n">
        <f aca="false">E28/$E$20*100</f>
        <v>118.352757461196</v>
      </c>
      <c r="F49" s="21" t="n">
        <f aca="false">F28/$F$20*100</f>
        <v>107.747404409797</v>
      </c>
      <c r="G49" s="16" t="n">
        <f aca="false">G28/$G$20*100</f>
        <v>212.938883968113</v>
      </c>
      <c r="H49" s="9"/>
      <c r="I49" s="10" t="s">
        <v>25</v>
      </c>
      <c r="J49" s="18" t="n">
        <f aca="false">B28/B27*100</f>
        <v>104.096744666483</v>
      </c>
      <c r="K49" s="16" t="n">
        <f aca="false">C28/C27*100</f>
        <v>101.78252645128</v>
      </c>
      <c r="L49" s="16" t="n">
        <f aca="false">D28/D27*100</f>
        <v>107.509628456202</v>
      </c>
      <c r="M49" s="16" t="n">
        <f aca="false">E28/E27*100</f>
        <v>106.010429238026</v>
      </c>
      <c r="N49" s="21" t="n">
        <f aca="false">F28/F27*100</f>
        <v>104.517500089571</v>
      </c>
      <c r="O49" s="16" t="n">
        <f aca="false">G28/G27*100</f>
        <v>102.696329710888</v>
      </c>
      <c r="P49" s="9"/>
      <c r="Q49" s="9"/>
      <c r="R49" s="9"/>
      <c r="ER49" s="9"/>
      <c r="ES49" s="9"/>
      <c r="ET49" s="9"/>
    </row>
    <row r="50" customFormat="false" ht="15" hidden="false" customHeight="false" outlineLevel="0" collapsed="false">
      <c r="A50" s="10" t="s">
        <v>26</v>
      </c>
      <c r="B50" s="16" t="n">
        <f aca="false">B29/$B$20*100</f>
        <v>116.362494549317</v>
      </c>
      <c r="C50" s="16" t="n">
        <f aca="false">C29/$C$20*100</f>
        <v>110.473629569341</v>
      </c>
      <c r="D50" s="16" t="n">
        <f aca="false">D29/$D$20*100</f>
        <v>128.198999834476</v>
      </c>
      <c r="E50" s="16" t="n">
        <f aca="false">E29/$E$20*100</f>
        <v>125.490938634509</v>
      </c>
      <c r="F50" s="16" t="n">
        <f aca="false">F29/$F$20*100</f>
        <v>108.467254495721</v>
      </c>
      <c r="G50" s="16" t="n">
        <f aca="false">G29/$G$20*100</f>
        <v>214.015943312666</v>
      </c>
      <c r="H50" s="9"/>
      <c r="I50" s="10" t="s">
        <v>26</v>
      </c>
      <c r="J50" s="18" t="n">
        <f aca="false">B29/B28*100</f>
        <v>103.513198574627</v>
      </c>
      <c r="K50" s="21" t="n">
        <f aca="false">C29/C28*100</f>
        <v>103.813344709419</v>
      </c>
      <c r="L50" s="16" t="n">
        <f aca="false">D29/D28*100</f>
        <v>107.908424985751</v>
      </c>
      <c r="M50" s="16" t="n">
        <f aca="false">E29/E28*100</f>
        <v>106.031275761068</v>
      </c>
      <c r="N50" s="16" t="n">
        <f aca="false">F29/F28*100</f>
        <v>100.668090419316</v>
      </c>
      <c r="O50" s="16" t="n">
        <f aca="false">G29/G28*100</f>
        <v>100.505806795115</v>
      </c>
      <c r="P50" s="9"/>
      <c r="Q50" s="9"/>
      <c r="R50" s="9"/>
      <c r="ER50" s="9"/>
      <c r="ES50" s="9"/>
      <c r="ET50" s="9"/>
    </row>
    <row r="51" customFormat="false" ht="15" hidden="false" customHeight="false" outlineLevel="0" collapsed="false">
      <c r="A51" s="10" t="s">
        <v>27</v>
      </c>
      <c r="B51" s="16" t="n">
        <f aca="false">B30/$B$20*100</f>
        <v>118.784790370236</v>
      </c>
      <c r="C51" s="21" t="n">
        <f aca="false">C30/$C$20*100</f>
        <v>110.973687067155</v>
      </c>
      <c r="D51" s="16" t="n">
        <f aca="false">D30/$D$20*100</f>
        <v>133.843113454082</v>
      </c>
      <c r="E51" s="16" t="n">
        <f aca="false">E30/$E$20*100</f>
        <v>128.67793070825</v>
      </c>
      <c r="F51" s="16" t="n">
        <f aca="false">F30/$F$20*100</f>
        <v>110.594523284218</v>
      </c>
      <c r="G51" s="16" t="n">
        <f aca="false">G30/$G$20*100</f>
        <v>218.023029229407</v>
      </c>
      <c r="H51" s="9"/>
      <c r="I51" s="10" t="s">
        <v>27</v>
      </c>
      <c r="J51" s="18" t="n">
        <f aca="false">B30/B29*100</f>
        <v>102.081680897527</v>
      </c>
      <c r="K51" s="16" t="n">
        <f aca="false">C30/C29*100</f>
        <v>100.452648745011</v>
      </c>
      <c r="L51" s="16" t="n">
        <f aca="false">D30/D29*100</f>
        <v>104.402619074169</v>
      </c>
      <c r="M51" s="16" t="n">
        <f aca="false">E30/E29*100</f>
        <v>102.539619281216</v>
      </c>
      <c r="N51" s="16" t="n">
        <f aca="false">F30/F29*100</f>
        <v>101.961208291283</v>
      </c>
      <c r="O51" s="16" t="n">
        <f aca="false">G30/G29*100</f>
        <v>101.872330563189</v>
      </c>
      <c r="P51" s="9"/>
      <c r="Q51" s="9"/>
      <c r="R51" s="9"/>
      <c r="ER51" s="9"/>
      <c r="ES51" s="9"/>
      <c r="ET51" s="9"/>
    </row>
    <row r="52" customFormat="false" ht="15" hidden="false" customHeight="false" outlineLevel="0" collapsed="false">
      <c r="A52" s="10" t="s">
        <v>28</v>
      </c>
      <c r="B52" s="16" t="n">
        <f aca="false">B31/$B$20*100</f>
        <v>120.160149960357</v>
      </c>
      <c r="C52" s="16" t="n">
        <f aca="false">C31/$C$20*100</f>
        <v>111.816891271634</v>
      </c>
      <c r="D52" s="16" t="n">
        <f aca="false">D31/$D$20*100</f>
        <v>142.835825387351</v>
      </c>
      <c r="E52" s="21" t="n">
        <f aca="false">E31/$E$20*100</f>
        <v>130.748940405328</v>
      </c>
      <c r="F52" s="16" t="n">
        <f aca="false">F31/$F$20*100</f>
        <v>109.056609187668</v>
      </c>
      <c r="G52" s="16" t="n">
        <f aca="false">G31/$G$20*100</f>
        <v>211.479185119575</v>
      </c>
      <c r="H52" s="9"/>
      <c r="I52" s="10" t="s">
        <v>28</v>
      </c>
      <c r="J52" s="18" t="n">
        <f aca="false">B31/B30*100</f>
        <v>101.157858330039</v>
      </c>
      <c r="K52" s="16" t="n">
        <f aca="false">C31/C30*100</f>
        <v>100.75982354625</v>
      </c>
      <c r="L52" s="16" t="n">
        <f aca="false">D31/D30*100</f>
        <v>106.71884544613</v>
      </c>
      <c r="M52" s="16" t="n">
        <f aca="false">E31/E30*100</f>
        <v>101.609452130353</v>
      </c>
      <c r="N52" s="16" t="n">
        <f aca="false">F31/F30*100</f>
        <v>98.6094120659143</v>
      </c>
      <c r="O52" s="21" t="n">
        <f aca="false">G31/G30*100</f>
        <v>96.9985537156507</v>
      </c>
      <c r="P52" s="9"/>
      <c r="Q52" s="9"/>
      <c r="R52" s="9"/>
      <c r="ER52" s="9"/>
      <c r="ES52" s="9"/>
      <c r="ET52" s="9"/>
    </row>
    <row r="53" customFormat="false" ht="15" hidden="false" customHeight="false" outlineLevel="0" collapsed="false">
      <c r="A53" s="10" t="s">
        <v>29</v>
      </c>
      <c r="B53" s="16" t="n">
        <f aca="false">B32/$B$20*100</f>
        <v>123.499021469164</v>
      </c>
      <c r="C53" s="16" t="n">
        <f aca="false">C32/$C$20*100</f>
        <v>113.033657782924</v>
      </c>
      <c r="D53" s="16" t="n">
        <f aca="false">D32/$D$20*100</f>
        <v>147.178570174603</v>
      </c>
      <c r="E53" s="16" t="n">
        <f aca="false">E32/$E$20*100</f>
        <v>134.402606522139</v>
      </c>
      <c r="F53" s="16" t="n">
        <f aca="false">F32/$F$20*100</f>
        <v>111.245790810625</v>
      </c>
      <c r="G53" s="16" t="n">
        <f aca="false">G32/$G$20*100</f>
        <v>216.58813108946</v>
      </c>
      <c r="H53" s="9"/>
      <c r="I53" s="10" t="s">
        <v>29</v>
      </c>
      <c r="J53" s="22" t="n">
        <f aca="false">B32/B31*100</f>
        <v>102.77868453885</v>
      </c>
      <c r="K53" s="16" t="n">
        <f aca="false">C32/C31*100</f>
        <v>101.088177731873</v>
      </c>
      <c r="L53" s="16" t="n">
        <f aca="false">D32/D31*100</f>
        <v>103.040375042798</v>
      </c>
      <c r="M53" s="21" t="n">
        <f aca="false">E32/E31*100</f>
        <v>102.794413557375</v>
      </c>
      <c r="N53" s="16" t="n">
        <f aca="false">F32/F31*100</f>
        <v>102.007380973298</v>
      </c>
      <c r="O53" s="16" t="n">
        <f aca="false">G32/G31*100</f>
        <v>102.415815044396</v>
      </c>
      <c r="P53" s="9"/>
      <c r="Q53" s="9"/>
      <c r="R53" s="9"/>
      <c r="ER53" s="9"/>
      <c r="ES53" s="9"/>
      <c r="ET53" s="9"/>
    </row>
    <row r="54" customFormat="false" ht="15" hidden="false" customHeight="false" outlineLevel="0" collapsed="false">
      <c r="A54" s="10" t="s">
        <v>30</v>
      </c>
      <c r="B54" s="16" t="n">
        <f aca="false">B33/$B$20*100</f>
        <v>126.269486152734</v>
      </c>
      <c r="C54" s="16" t="n">
        <f aca="false">C33/$C$20*100</f>
        <v>115.597149496299</v>
      </c>
      <c r="D54" s="16" t="n">
        <f aca="false">D33/$D$20*100</f>
        <v>152.741426615237</v>
      </c>
      <c r="E54" s="16" t="n">
        <f aca="false">E33/$E$20*100</f>
        <v>139.085080066523</v>
      </c>
      <c r="F54" s="16" t="n">
        <f aca="false">F33/$F$20*100</f>
        <v>112.689925608555</v>
      </c>
      <c r="G54" s="16" t="n">
        <f aca="false">G33/$G$20*100</f>
        <v>288.726306465899</v>
      </c>
      <c r="H54" s="9"/>
      <c r="I54" s="10" t="s">
        <v>30</v>
      </c>
      <c r="J54" s="18" t="n">
        <f aca="false">B33/B32*100</f>
        <v>102.243309016227</v>
      </c>
      <c r="K54" s="16" t="n">
        <f aca="false">C33/C32*100</f>
        <v>102.26790122841</v>
      </c>
      <c r="L54" s="16" t="n">
        <f aca="false">D33/D32*100</f>
        <v>103.779664684903</v>
      </c>
      <c r="M54" s="16" t="n">
        <f aca="false">E33/E32*100</f>
        <v>103.483915725706</v>
      </c>
      <c r="N54" s="16" t="n">
        <f aca="false">F33/F32*100</f>
        <v>101.298147810723</v>
      </c>
      <c r="O54" s="16" t="n">
        <f aca="false">G33/G32*100</f>
        <v>133.306615193352</v>
      </c>
      <c r="P54" s="9"/>
      <c r="Q54" s="9"/>
      <c r="R54" s="9"/>
      <c r="ER54" s="9"/>
      <c r="ES54" s="9"/>
      <c r="ET54" s="9"/>
    </row>
    <row r="55" customFormat="false" ht="15" hidden="false" customHeight="false" outlineLevel="0" collapsed="false">
      <c r="A55" s="10" t="s">
        <v>31</v>
      </c>
      <c r="B55" s="16" t="n">
        <f aca="false">B34/$B$20*100</f>
        <v>127.814076102313</v>
      </c>
      <c r="C55" s="16" t="n">
        <f aca="false">C34/$C$20*100</f>
        <v>117.218073595219</v>
      </c>
      <c r="D55" s="16" t="n">
        <f aca="false">D34/$D$20*100</f>
        <v>155.627812025059</v>
      </c>
      <c r="E55" s="16" t="n">
        <f aca="false">E34/$E$20*100</f>
        <v>137.408523153189</v>
      </c>
      <c r="F55" s="16" t="n">
        <f aca="false">F34/$F$20*100</f>
        <v>113.897175487047</v>
      </c>
      <c r="G55" s="16" t="n">
        <f aca="false">G34/$G$20*100</f>
        <v>290.745792736935</v>
      </c>
      <c r="H55" s="9"/>
      <c r="I55" s="10" t="s">
        <v>31</v>
      </c>
      <c r="J55" s="18" t="n">
        <f aca="false">B34/B33*100</f>
        <v>101.223248780557</v>
      </c>
      <c r="K55" s="16" t="n">
        <f aca="false">C34/C33*100</f>
        <v>101.402218052939</v>
      </c>
      <c r="L55" s="16" t="n">
        <f aca="false">D34/D33*100</f>
        <v>101.88972008039</v>
      </c>
      <c r="M55" s="16" t="n">
        <f aca="false">E34/E33*100</f>
        <v>98.794581767842</v>
      </c>
      <c r="N55" s="16" t="n">
        <f aca="false">F34/F33*100</f>
        <v>101.07130240079</v>
      </c>
      <c r="O55" s="16" t="n">
        <f aca="false">G34/G33*100</f>
        <v>100.699446578234</v>
      </c>
      <c r="P55" s="9"/>
      <c r="Q55" s="9"/>
      <c r="R55" s="9"/>
      <c r="ER55" s="9"/>
      <c r="ES55" s="9"/>
      <c r="ET55" s="9"/>
    </row>
    <row r="56" customFormat="false" ht="15" hidden="false" customHeight="false" outlineLevel="0" collapsed="false">
      <c r="A56" s="10" t="s">
        <v>32</v>
      </c>
      <c r="B56" s="16" t="n">
        <f aca="false">B35/$B$20*100</f>
        <v>132.293215793638</v>
      </c>
      <c r="C56" s="16" t="n">
        <f aca="false">C35/$C$20*100</f>
        <v>131.305787749793</v>
      </c>
      <c r="D56" s="16" t="n">
        <f aca="false">D35/$D$20*100</f>
        <v>162.803523150772</v>
      </c>
      <c r="E56" s="16" t="n">
        <f aca="false">E35/$E$20*100</f>
        <v>138.381670070821</v>
      </c>
      <c r="F56" s="16" t="n">
        <f aca="false">F35/$F$20*100</f>
        <v>113.89520124843</v>
      </c>
      <c r="G56" s="16" t="n">
        <f aca="false">G35/$G$20*100</f>
        <v>286.784765279008</v>
      </c>
      <c r="H56" s="9"/>
      <c r="I56" s="10" t="s">
        <v>32</v>
      </c>
      <c r="J56" s="18" t="n">
        <f aca="false">B35/B34*100</f>
        <v>103.504418157934</v>
      </c>
      <c r="K56" s="16" t="n">
        <f aca="false">C35/C34*100</f>
        <v>112.018380547032</v>
      </c>
      <c r="L56" s="16" t="n">
        <f aca="false">D35/D34*100</f>
        <v>104.6108154014</v>
      </c>
      <c r="M56" s="16" t="n">
        <f aca="false">E35/E34*100</f>
        <v>100.708214378046</v>
      </c>
      <c r="N56" s="16" t="n">
        <f aca="false">F35/F34*100</f>
        <v>99.9982666483094</v>
      </c>
      <c r="O56" s="16" t="n">
        <f aca="false">G35/G34*100</f>
        <v>98.637632063171</v>
      </c>
      <c r="P56" s="9"/>
      <c r="Q56" s="9"/>
      <c r="R56" s="9"/>
      <c r="ER56" s="9"/>
      <c r="ES56" s="9"/>
      <c r="ET56" s="9"/>
    </row>
    <row r="57" customFormat="false" ht="15" hidden="false" customHeight="false" outlineLevel="0" collapsed="false">
      <c r="A57" s="9"/>
      <c r="B57" s="9"/>
      <c r="C57" s="9"/>
      <c r="D57" s="9"/>
      <c r="E57" s="9"/>
      <c r="F57" s="9"/>
      <c r="G57" s="9"/>
      <c r="H57" s="9"/>
      <c r="I57" s="9"/>
      <c r="J57" s="9"/>
      <c r="K57" s="9"/>
      <c r="L57" s="9"/>
      <c r="M57" s="9"/>
      <c r="N57" s="9"/>
      <c r="O57" s="9"/>
      <c r="P57" s="9"/>
      <c r="Q57" s="9"/>
      <c r="R57" s="9"/>
      <c r="S57" s="9"/>
      <c r="ER57" s="9"/>
      <c r="ES57" s="9"/>
      <c r="ET57" s="9"/>
    </row>
    <row r="58" customFormat="false" ht="15" hidden="false" customHeight="false" outlineLevel="0" collapsed="false">
      <c r="A58" s="9"/>
      <c r="B58" s="9"/>
      <c r="C58" s="9"/>
      <c r="D58" s="9"/>
      <c r="E58" s="9"/>
      <c r="F58" s="9"/>
      <c r="G58" s="9"/>
      <c r="H58" s="9"/>
      <c r="I58" s="9"/>
      <c r="J58" s="9"/>
      <c r="K58" s="9"/>
      <c r="L58" s="9"/>
      <c r="M58" s="9"/>
      <c r="N58" s="9"/>
      <c r="O58" s="9"/>
      <c r="P58" s="9"/>
      <c r="Q58" s="9"/>
      <c r="R58" s="9"/>
      <c r="S58" s="9"/>
      <c r="ER58" s="9"/>
      <c r="ES58" s="9"/>
      <c r="ET58" s="9"/>
    </row>
    <row r="59" customFormat="false" ht="15" hidden="false" customHeight="false" outlineLevel="0" collapsed="false">
      <c r="A59" s="9"/>
      <c r="B59" s="9"/>
      <c r="C59" s="9"/>
      <c r="D59" s="9"/>
      <c r="E59" s="9"/>
      <c r="F59" s="9"/>
      <c r="G59" s="9"/>
      <c r="H59" s="9"/>
      <c r="I59" s="9"/>
      <c r="J59" s="9"/>
      <c r="K59" s="9"/>
      <c r="L59" s="9"/>
      <c r="M59" s="9"/>
      <c r="N59" s="9"/>
      <c r="O59" s="9"/>
      <c r="P59" s="9"/>
      <c r="Q59" s="9"/>
      <c r="R59" s="9"/>
      <c r="S59" s="9"/>
      <c r="ER59" s="9"/>
      <c r="ES59" s="9"/>
      <c r="ET59" s="9"/>
      <c r="EU59" s="9"/>
    </row>
    <row r="60" customFormat="false" ht="15" hidden="false" customHeight="false" outlineLevel="0" collapsed="false">
      <c r="A60" s="9"/>
      <c r="B60" s="9"/>
      <c r="C60" s="9"/>
      <c r="D60" s="9"/>
      <c r="E60" s="9"/>
      <c r="F60" s="9"/>
      <c r="G60" s="9"/>
      <c r="H60" s="9"/>
      <c r="I60" s="9"/>
      <c r="J60" s="9"/>
      <c r="K60" s="9"/>
      <c r="L60" s="9"/>
      <c r="M60" s="9"/>
      <c r="N60" s="9"/>
      <c r="O60" s="9"/>
      <c r="P60" s="9"/>
      <c r="Q60" s="9"/>
      <c r="R60" s="9"/>
      <c r="S60" s="9"/>
      <c r="ER60" s="9"/>
      <c r="ES60" s="9"/>
      <c r="ET60" s="9"/>
      <c r="EU60" s="9"/>
    </row>
    <row r="61" customFormat="false" ht="15" hidden="false" customHeight="false" outlineLevel="0" collapsed="false">
      <c r="A61" s="14" t="s">
        <v>36</v>
      </c>
      <c r="B61" s="15"/>
      <c r="C61" s="15"/>
      <c r="D61" s="15"/>
      <c r="E61" s="15"/>
      <c r="F61" s="15"/>
      <c r="G61" s="23"/>
      <c r="H61" s="23"/>
      <c r="I61" s="23"/>
      <c r="J61" s="23"/>
      <c r="K61" s="23"/>
      <c r="L61" s="23"/>
      <c r="M61" s="23"/>
      <c r="ER61" s="9"/>
      <c r="ES61" s="9"/>
      <c r="ET61" s="9"/>
      <c r="EU61" s="9"/>
    </row>
    <row r="62" customFormat="false" ht="15" hidden="false" customHeight="false" outlineLevel="0" collapsed="false">
      <c r="A62" s="15"/>
      <c r="B62" s="15"/>
      <c r="C62" s="15"/>
      <c r="D62" s="15"/>
      <c r="E62" s="15"/>
      <c r="F62" s="15"/>
      <c r="G62" s="23"/>
      <c r="H62" s="23"/>
      <c r="I62" s="14"/>
      <c r="J62" s="15"/>
      <c r="L62" s="15"/>
      <c r="M62" s="15"/>
      <c r="N62" s="15"/>
      <c r="O62" s="15"/>
      <c r="ER62" s="9"/>
      <c r="ES62" s="9"/>
      <c r="ET62" s="9"/>
      <c r="EU62" s="9"/>
    </row>
    <row r="63" customFormat="false" ht="15" hidden="false" customHeight="false" outlineLevel="0" collapsed="false">
      <c r="A63" s="6" t="s">
        <v>9</v>
      </c>
      <c r="B63" s="7" t="s">
        <v>10</v>
      </c>
      <c r="C63" s="7" t="s">
        <v>11</v>
      </c>
      <c r="D63" s="7" t="s">
        <v>12</v>
      </c>
      <c r="E63" s="7" t="s">
        <v>13</v>
      </c>
      <c r="F63" s="7" t="s">
        <v>14</v>
      </c>
      <c r="G63" s="7" t="s">
        <v>15</v>
      </c>
      <c r="I63" s="15"/>
      <c r="J63" s="15"/>
      <c r="K63" s="15"/>
      <c r="L63" s="15"/>
      <c r="M63" s="15"/>
      <c r="N63" s="15"/>
      <c r="O63" s="15"/>
    </row>
    <row r="64" customFormat="false" ht="15" hidden="false" customHeight="false" outlineLevel="0" collapsed="false">
      <c r="A64" s="24" t="s">
        <v>16</v>
      </c>
      <c r="B64" s="24" t="s">
        <v>35</v>
      </c>
      <c r="C64" s="24" t="s">
        <v>35</v>
      </c>
      <c r="D64" s="24" t="s">
        <v>35</v>
      </c>
      <c r="E64" s="24" t="s">
        <v>35</v>
      </c>
      <c r="F64" s="24" t="s">
        <v>35</v>
      </c>
      <c r="G64" s="24" t="s">
        <v>35</v>
      </c>
      <c r="I64" s="14"/>
      <c r="J64" s="25"/>
      <c r="K64" s="25"/>
      <c r="L64" s="25"/>
      <c r="M64" s="25"/>
      <c r="N64" s="25"/>
      <c r="O64" s="25"/>
    </row>
    <row r="65" customFormat="false" ht="15" hidden="false" customHeight="false" outlineLevel="0" collapsed="false">
      <c r="A65" s="24" t="s">
        <v>17</v>
      </c>
      <c r="B65" s="26" t="n">
        <f aca="false">(B42/B41)*100</f>
        <v>101.318222017456</v>
      </c>
      <c r="C65" s="26" t="n">
        <f aca="false">(C42/C41)*100</f>
        <v>101.137632666293</v>
      </c>
      <c r="D65" s="26" t="n">
        <f aca="false">(D42/D41)*100</f>
        <v>100.320514428165</v>
      </c>
      <c r="E65" s="26" t="n">
        <f aca="false">(E42/E41)*100</f>
        <v>102.65615617534</v>
      </c>
      <c r="F65" s="26" t="n">
        <f aca="false">(F42/F41)*100</f>
        <v>100.869815148422</v>
      </c>
      <c r="G65" s="26" t="n">
        <f aca="false">(G42/G41)*100</f>
        <v>106.862710363153</v>
      </c>
      <c r="I65" s="15"/>
      <c r="J65" s="15"/>
      <c r="K65" s="15"/>
      <c r="L65" s="15"/>
      <c r="M65" s="15"/>
      <c r="N65" s="15"/>
      <c r="O65" s="15"/>
    </row>
    <row r="66" customFormat="false" ht="15" hidden="false" customHeight="false" outlineLevel="0" collapsed="false">
      <c r="A66" s="24" t="s">
        <v>18</v>
      </c>
      <c r="B66" s="26" t="n">
        <f aca="false">(B43/B42)*100</f>
        <v>99.883530066992</v>
      </c>
      <c r="C66" s="26" t="n">
        <f aca="false">(C43/C42)*100</f>
        <v>98.8151639169766</v>
      </c>
      <c r="D66" s="26" t="n">
        <f aca="false">(D43/D42)*100</f>
        <v>97.8220653380399</v>
      </c>
      <c r="E66" s="26" t="n">
        <f aca="false">(E43/E42)*100</f>
        <v>100.229326883564</v>
      </c>
      <c r="F66" s="26" t="n">
        <f aca="false">(F43/F42)*100</f>
        <v>99.9538967258447</v>
      </c>
      <c r="G66" s="26" t="n">
        <f aca="false">(G43/G42)*100</f>
        <v>100.079570320271</v>
      </c>
      <c r="I66" s="15"/>
      <c r="J66" s="15"/>
      <c r="K66" s="15"/>
      <c r="L66" s="15"/>
      <c r="M66" s="15"/>
      <c r="N66" s="15"/>
      <c r="O66" s="15"/>
    </row>
    <row r="67" customFormat="false" ht="15" hidden="false" customHeight="false" outlineLevel="0" collapsed="false">
      <c r="A67" s="24" t="s">
        <v>19</v>
      </c>
      <c r="B67" s="26" t="n">
        <f aca="false">(B44/B43)*100</f>
        <v>99.0473969021874</v>
      </c>
      <c r="C67" s="26" t="n">
        <f aca="false">(C44/C43)*100</f>
        <v>100.376293788883</v>
      </c>
      <c r="D67" s="26" t="n">
        <f aca="false">(D44/D43)*100</f>
        <v>98.3036033733708</v>
      </c>
      <c r="E67" s="26" t="n">
        <f aca="false">(E44/E43)*100</f>
        <v>99.0912809642022</v>
      </c>
      <c r="F67" s="26" t="n">
        <f aca="false">(F44/F43)*100</f>
        <v>98.6541031199805</v>
      </c>
      <c r="G67" s="26" t="n">
        <f aca="false">(G44/G43)*100</f>
        <v>100.904392764858</v>
      </c>
      <c r="I67" s="15"/>
      <c r="J67" s="15"/>
      <c r="K67" s="15"/>
      <c r="L67" s="15"/>
      <c r="M67" s="15"/>
      <c r="N67" s="15"/>
      <c r="O67" s="15"/>
    </row>
    <row r="68" customFormat="false" ht="15" hidden="false" customHeight="false" outlineLevel="0" collapsed="false">
      <c r="A68" s="24" t="s">
        <v>20</v>
      </c>
      <c r="B68" s="26" t="n">
        <f aca="false">(B45/B44)*100</f>
        <v>102.033441330201</v>
      </c>
      <c r="C68" s="26" t="n">
        <f aca="false">(C45/C44)*100</f>
        <v>101.14245595883</v>
      </c>
      <c r="D68" s="26" t="n">
        <f aca="false">(D45/D44)*100</f>
        <v>98.8582183839319</v>
      </c>
      <c r="E68" s="26" t="n">
        <f aca="false">(E45/E44)*100</f>
        <v>103.32847936496</v>
      </c>
      <c r="F68" s="26" t="n">
        <f aca="false">(F45/F44)*100</f>
        <v>102.908170810145</v>
      </c>
      <c r="G68" s="26" t="n">
        <f aca="false">(G45/G44)*100</f>
        <v>106.848550510522</v>
      </c>
      <c r="I68" s="15"/>
      <c r="J68" s="15"/>
      <c r="K68" s="15"/>
      <c r="L68" s="15"/>
      <c r="M68" s="15"/>
      <c r="N68" s="15"/>
      <c r="O68" s="15"/>
    </row>
    <row r="69" customFormat="false" ht="15" hidden="false" customHeight="false" outlineLevel="0" collapsed="false">
      <c r="A69" s="24" t="s">
        <v>21</v>
      </c>
      <c r="B69" s="26" t="n">
        <f aca="false">(B46/B45)*100</f>
        <v>101.568052067575</v>
      </c>
      <c r="C69" s="26" t="n">
        <f aca="false">(C46/C45)*100</f>
        <v>102.176950034921</v>
      </c>
      <c r="D69" s="26" t="n">
        <f aca="false">(D46/D45)*100</f>
        <v>102.726483814132</v>
      </c>
      <c r="E69" s="26" t="n">
        <f aca="false">(E46/E45)*100</f>
        <v>101.515125859932</v>
      </c>
      <c r="F69" s="26" t="n">
        <f aca="false">(F46/F45)*100</f>
        <v>100.19992287357</v>
      </c>
      <c r="G69" s="26" t="n">
        <f aca="false">(G46/G45)*100</f>
        <v>101.327392840682</v>
      </c>
      <c r="I69" s="15"/>
      <c r="J69" s="15"/>
      <c r="K69" s="15"/>
      <c r="L69" s="15"/>
      <c r="M69" s="15"/>
      <c r="N69" s="15"/>
      <c r="O69" s="15"/>
    </row>
    <row r="70" customFormat="false" ht="15" hidden="false" customHeight="false" outlineLevel="0" collapsed="false">
      <c r="A70" s="24" t="s">
        <v>22</v>
      </c>
      <c r="B70" s="26" t="n">
        <f aca="false">(B47/B46)*100</f>
        <v>100.664597590569</v>
      </c>
      <c r="C70" s="26" t="n">
        <f aca="false">(C47/C46)*100</f>
        <v>99.7271413413231</v>
      </c>
      <c r="D70" s="26" t="n">
        <f aca="false">(D47/D46)*100</f>
        <v>103.349392532217</v>
      </c>
      <c r="E70" s="26" t="n">
        <f aca="false">(E47/E46)*100</f>
        <v>101.33385215797</v>
      </c>
      <c r="F70" s="26" t="n">
        <f aca="false">(F47/F46)*100</f>
        <v>99.7369661568787</v>
      </c>
      <c r="G70" s="26" t="n">
        <f aca="false">(G47/G46)*100</f>
        <v>100.218333990357</v>
      </c>
      <c r="I70" s="15"/>
      <c r="J70" s="15"/>
      <c r="K70" s="15"/>
      <c r="L70" s="15"/>
      <c r="M70" s="15"/>
      <c r="N70" s="15"/>
      <c r="O70" s="15"/>
    </row>
    <row r="71" customFormat="false" ht="15" hidden="false" customHeight="false" outlineLevel="0" collapsed="false">
      <c r="A71" s="24" t="s">
        <v>23</v>
      </c>
      <c r="B71" s="26" t="n">
        <f aca="false">(B48/B47)*100</f>
        <v>103.271198561217</v>
      </c>
      <c r="C71" s="26" t="n">
        <f aca="false">(C48/C47)*100</f>
        <v>101.126476804445</v>
      </c>
      <c r="D71" s="26" t="n">
        <f aca="false">(D48/D47)*100</f>
        <v>109.13970504456</v>
      </c>
      <c r="E71" s="26" t="n">
        <f aca="false">(E48/E47)*100</f>
        <v>103.017067937728</v>
      </c>
      <c r="F71" s="26" t="n">
        <f aca="false">(F48/F47)*100</f>
        <v>100.778594346839</v>
      </c>
      <c r="G71" s="26" t="n">
        <f aca="false">(G48/G47)*100</f>
        <v>177.082513843081</v>
      </c>
      <c r="I71" s="15"/>
      <c r="J71" s="15"/>
      <c r="K71" s="15"/>
      <c r="L71" s="15"/>
      <c r="M71" s="15"/>
      <c r="N71" s="15"/>
      <c r="O71" s="15"/>
    </row>
    <row r="72" customFormat="false" ht="15" hidden="false" customHeight="false" outlineLevel="0" collapsed="false">
      <c r="A72" s="24" t="s">
        <v>25</v>
      </c>
      <c r="B72" s="26" t="n">
        <f aca="false">(B49/B48)*100</f>
        <v>104.096744666483</v>
      </c>
      <c r="C72" s="26" t="n">
        <f aca="false">(C49/C48)*100</f>
        <v>101.78252645128</v>
      </c>
      <c r="D72" s="26" t="n">
        <f aca="false">(D49/D48)*100</f>
        <v>107.509628456202</v>
      </c>
      <c r="E72" s="26" t="n">
        <f aca="false">(E49/E48)*100</f>
        <v>106.010429238026</v>
      </c>
      <c r="F72" s="26" t="n">
        <f aca="false">(F49/F48)*100</f>
        <v>104.517500089571</v>
      </c>
      <c r="G72" s="26" t="n">
        <f aca="false">(G49/G48)*100</f>
        <v>102.696329710888</v>
      </c>
      <c r="I72" s="15"/>
      <c r="J72" s="15"/>
      <c r="K72" s="15"/>
      <c r="L72" s="15"/>
      <c r="M72" s="15"/>
      <c r="N72" s="15"/>
      <c r="O72" s="15"/>
    </row>
    <row r="73" customFormat="false" ht="15" hidden="false" customHeight="false" outlineLevel="0" collapsed="false">
      <c r="A73" s="24" t="s">
        <v>26</v>
      </c>
      <c r="B73" s="26" t="n">
        <f aca="false">(B50/B49)*100</f>
        <v>103.513198574627</v>
      </c>
      <c r="C73" s="26" t="n">
        <f aca="false">(C50/C49)*100</f>
        <v>103.813344709419</v>
      </c>
      <c r="D73" s="26" t="n">
        <f aca="false">(D50/D49)*100</f>
        <v>107.908424985751</v>
      </c>
      <c r="E73" s="26" t="n">
        <f aca="false">(E50/E49)*100</f>
        <v>106.031275761068</v>
      </c>
      <c r="F73" s="26" t="n">
        <f aca="false">(F50/F49)*100</f>
        <v>100.668090419316</v>
      </c>
      <c r="G73" s="26" t="n">
        <f aca="false">(G50/G49)*100</f>
        <v>100.505806795115</v>
      </c>
      <c r="I73" s="15"/>
      <c r="J73" s="15"/>
      <c r="K73" s="15"/>
      <c r="L73" s="15"/>
      <c r="M73" s="15"/>
      <c r="N73" s="15"/>
      <c r="O73" s="15"/>
    </row>
    <row r="74" customFormat="false" ht="15" hidden="false" customHeight="false" outlineLevel="0" collapsed="false">
      <c r="A74" s="24" t="s">
        <v>27</v>
      </c>
      <c r="B74" s="26" t="n">
        <f aca="false">(B51/B50)*100</f>
        <v>102.081680897527</v>
      </c>
      <c r="C74" s="26" t="n">
        <f aca="false">(C51/C50)*100</f>
        <v>100.452648745011</v>
      </c>
      <c r="D74" s="26" t="n">
        <f aca="false">(D51/D50)*100</f>
        <v>104.402619074169</v>
      </c>
      <c r="E74" s="26" t="n">
        <f aca="false">(E51/E50)*100</f>
        <v>102.539619281216</v>
      </c>
      <c r="F74" s="26" t="n">
        <f aca="false">(F51/F50)*100</f>
        <v>101.961208291283</v>
      </c>
      <c r="G74" s="26" t="n">
        <f aca="false">(G51/G50)*100</f>
        <v>101.872330563189</v>
      </c>
      <c r="I74" s="15"/>
      <c r="J74" s="15"/>
      <c r="K74" s="15"/>
      <c r="L74" s="15"/>
      <c r="M74" s="15"/>
      <c r="N74" s="15"/>
      <c r="O74" s="15"/>
    </row>
    <row r="75" customFormat="false" ht="15" hidden="false" customHeight="false" outlineLevel="0" collapsed="false">
      <c r="A75" s="24" t="s">
        <v>28</v>
      </c>
      <c r="B75" s="26" t="n">
        <f aca="false">(B52/B51)*100</f>
        <v>101.157858330039</v>
      </c>
      <c r="C75" s="26" t="n">
        <f aca="false">(C52/C51)*100</f>
        <v>100.75982354625</v>
      </c>
      <c r="D75" s="26" t="n">
        <f aca="false">(D52/D51)*100</f>
        <v>106.71884544613</v>
      </c>
      <c r="E75" s="26" t="n">
        <f aca="false">(E52/E51)*100</f>
        <v>101.609452130353</v>
      </c>
      <c r="F75" s="26" t="n">
        <f aca="false">(F52/F51)*100</f>
        <v>98.6094120659143</v>
      </c>
      <c r="G75" s="26" t="n">
        <f aca="false">(G52/G51)*100</f>
        <v>96.9985537156508</v>
      </c>
      <c r="I75" s="15"/>
      <c r="J75" s="15"/>
      <c r="K75" s="15"/>
      <c r="L75" s="15"/>
      <c r="M75" s="15"/>
      <c r="N75" s="15"/>
      <c r="O75" s="15"/>
    </row>
    <row r="76" customFormat="false" ht="15" hidden="false" customHeight="false" outlineLevel="0" collapsed="false">
      <c r="A76" s="24" t="s">
        <v>29</v>
      </c>
      <c r="B76" s="26" t="n">
        <f aca="false">(B53/B52)*100</f>
        <v>102.77868453885</v>
      </c>
      <c r="C76" s="26" t="n">
        <f aca="false">(C53/C52)*100</f>
        <v>101.088177731873</v>
      </c>
      <c r="D76" s="26" t="n">
        <f aca="false">(D53/D52)*100</f>
        <v>103.040375042798</v>
      </c>
      <c r="E76" s="26" t="n">
        <f aca="false">(E53/E52)*100</f>
        <v>102.794413557375</v>
      </c>
      <c r="F76" s="26" t="n">
        <f aca="false">(F53/F52)*100</f>
        <v>102.007380973298</v>
      </c>
      <c r="G76" s="26" t="n">
        <f aca="false">(G53/G52)*100</f>
        <v>102.415815044396</v>
      </c>
      <c r="I76" s="15"/>
      <c r="J76" s="15"/>
      <c r="K76" s="15"/>
      <c r="L76" s="15"/>
      <c r="M76" s="15"/>
      <c r="N76" s="15"/>
      <c r="O76" s="15"/>
    </row>
    <row r="77" customFormat="false" ht="15" hidden="false" customHeight="false" outlineLevel="0" collapsed="false">
      <c r="A77" s="24" t="s">
        <v>30</v>
      </c>
      <c r="B77" s="26" t="n">
        <f aca="false">(B54/B53)*100</f>
        <v>102.243309016227</v>
      </c>
      <c r="C77" s="26" t="n">
        <f aca="false">(C54/C53)*100</f>
        <v>102.26790122841</v>
      </c>
      <c r="D77" s="26" t="n">
        <f aca="false">(D54/D53)*100</f>
        <v>103.779664684903</v>
      </c>
      <c r="E77" s="26" t="n">
        <f aca="false">(E54/E53)*100</f>
        <v>103.483915725706</v>
      </c>
      <c r="F77" s="26" t="n">
        <f aca="false">(F54/F53)*100</f>
        <v>101.298147810723</v>
      </c>
      <c r="G77" s="26" t="n">
        <f aca="false">(G54/G53)*100</f>
        <v>133.306615193352</v>
      </c>
      <c r="I77" s="15"/>
      <c r="J77" s="15"/>
      <c r="K77" s="15"/>
      <c r="L77" s="15"/>
      <c r="M77" s="15"/>
      <c r="N77" s="15"/>
      <c r="O77" s="15"/>
    </row>
    <row r="78" customFormat="false" ht="15" hidden="false" customHeight="false" outlineLevel="0" collapsed="false">
      <c r="A78" s="24" t="s">
        <v>31</v>
      </c>
      <c r="B78" s="26" t="n">
        <f aca="false">(B55/B54)*100</f>
        <v>101.223248780557</v>
      </c>
      <c r="C78" s="26" t="n">
        <f aca="false">(C55/C54)*100</f>
        <v>101.402218052939</v>
      </c>
      <c r="D78" s="26" t="n">
        <f aca="false">(D55/D54)*100</f>
        <v>101.88972008039</v>
      </c>
      <c r="E78" s="26" t="n">
        <f aca="false">(E55/E54)*100</f>
        <v>98.794581767842</v>
      </c>
      <c r="F78" s="26" t="n">
        <f aca="false">(F55/F54)*100</f>
        <v>101.07130240079</v>
      </c>
      <c r="G78" s="26" t="n">
        <f aca="false">(G55/G54)*100</f>
        <v>100.699446578234</v>
      </c>
      <c r="I78" s="15"/>
      <c r="J78" s="15"/>
      <c r="K78" s="15"/>
      <c r="L78" s="15"/>
      <c r="M78" s="15"/>
      <c r="N78" s="15"/>
      <c r="O78" s="15"/>
    </row>
    <row r="79" customFormat="false" ht="15" hidden="false" customHeight="false" outlineLevel="0" collapsed="false">
      <c r="A79" s="24" t="s">
        <v>32</v>
      </c>
      <c r="B79" s="26" t="n">
        <f aca="false">(B56/B55)*100</f>
        <v>103.504418157934</v>
      </c>
      <c r="C79" s="26" t="n">
        <f aca="false">(C56/C55)*100</f>
        <v>112.018380547032</v>
      </c>
      <c r="D79" s="26" t="n">
        <f aca="false">(D56/D55)*100</f>
        <v>104.6108154014</v>
      </c>
      <c r="E79" s="26" t="n">
        <f aca="false">(E56/E55)*100</f>
        <v>100.708214378046</v>
      </c>
      <c r="F79" s="26" t="n">
        <f aca="false">(F56/F55)*100</f>
        <v>99.9982666483095</v>
      </c>
      <c r="G79" s="26" t="n">
        <f aca="false">(G56/G55)*100</f>
        <v>98.637632063171</v>
      </c>
      <c r="I79" s="15"/>
      <c r="J79" s="15"/>
      <c r="K79" s="15"/>
      <c r="L79" s="15"/>
      <c r="M79" s="15"/>
      <c r="N79" s="15"/>
      <c r="O79" s="15"/>
    </row>
    <row r="80" customFormat="false" ht="15" hidden="false" customHeight="false" outlineLevel="0" collapsed="false">
      <c r="E80" s="23"/>
      <c r="F80" s="23"/>
      <c r="G80" s="23"/>
    </row>
    <row r="84" customFormat="false" ht="15" hidden="false" customHeight="false" outlineLevel="0" collapsed="false">
      <c r="E84" s="23"/>
      <c r="F84" s="23"/>
      <c r="G84" s="23"/>
      <c r="H84" s="23"/>
      <c r="I84" s="23"/>
      <c r="J84" s="23"/>
      <c r="K84" s="23"/>
      <c r="L84" s="23"/>
      <c r="M84" s="23"/>
    </row>
    <row r="85" customFormat="false" ht="15" hidden="false" customHeight="false" outlineLevel="0" collapsed="false">
      <c r="E85" s="23"/>
      <c r="F85" s="23"/>
      <c r="G85" s="23"/>
      <c r="H85" s="23"/>
      <c r="I85" s="23"/>
      <c r="J85" s="23"/>
      <c r="K85" s="23"/>
      <c r="L85" s="23"/>
      <c r="M85" s="23"/>
    </row>
    <row r="86" customFormat="false" ht="15" hidden="false" customHeight="false" outlineLevel="0" collapsed="false">
      <c r="E86" s="23"/>
      <c r="F86" s="23"/>
      <c r="G86" s="23"/>
      <c r="H86" s="23"/>
      <c r="I86" s="23"/>
      <c r="J86" s="23"/>
      <c r="K86" s="23"/>
      <c r="L86" s="23"/>
      <c r="M86" s="23"/>
    </row>
    <row r="87" customFormat="false" ht="15" hidden="false" customHeight="false" outlineLevel="0" collapsed="false">
      <c r="E87" s="23"/>
      <c r="F87" s="23"/>
      <c r="G87" s="23"/>
      <c r="H87" s="23"/>
      <c r="I87" s="23"/>
      <c r="J87" s="23"/>
      <c r="K87" s="23"/>
      <c r="L87" s="23"/>
      <c r="M87" s="23"/>
    </row>
    <row r="88" customFormat="false" ht="15" hidden="false" customHeight="false" outlineLevel="0" collapsed="false">
      <c r="E88" s="23"/>
      <c r="F88" s="23"/>
      <c r="G88" s="23"/>
      <c r="H88" s="23"/>
      <c r="I88" s="23"/>
      <c r="J88" s="23"/>
      <c r="K88" s="23"/>
      <c r="L88" s="23"/>
      <c r="M88" s="23"/>
    </row>
    <row r="89" customFormat="false" ht="15" hidden="false" customHeight="false" outlineLevel="0" collapsed="false">
      <c r="E89" s="23"/>
      <c r="F89" s="23"/>
      <c r="G89" s="23"/>
      <c r="H89" s="23"/>
      <c r="I89" s="23"/>
      <c r="J89" s="23"/>
      <c r="K89" s="23"/>
      <c r="L89" s="23"/>
      <c r="M89" s="23"/>
    </row>
    <row r="90" customFormat="false" ht="15" hidden="false" customHeight="false" outlineLevel="0" collapsed="false">
      <c r="E90" s="23"/>
      <c r="F90" s="23"/>
      <c r="G90" s="23"/>
      <c r="H90" s="23"/>
      <c r="I90" s="23"/>
      <c r="J90" s="23"/>
      <c r="K90" s="23"/>
      <c r="L90" s="23"/>
      <c r="M90" s="23"/>
    </row>
    <row r="91" customFormat="false" ht="15" hidden="false" customHeight="false" outlineLevel="0" collapsed="false">
      <c r="A91" s="27" t="s">
        <v>37</v>
      </c>
      <c r="B91" s="15"/>
      <c r="C91" s="28"/>
      <c r="D91" s="15"/>
      <c r="E91" s="15"/>
      <c r="F91" s="15"/>
      <c r="G91" s="15"/>
      <c r="H91" s="15"/>
      <c r="I91" s="15"/>
      <c r="J91" s="15"/>
      <c r="K91" s="28"/>
      <c r="L91" s="28"/>
    </row>
    <row r="92" customFormat="false" ht="15" hidden="false" customHeight="false" outlineLevel="0" collapsed="false">
      <c r="A92" s="28"/>
      <c r="B92" s="14" t="s">
        <v>38</v>
      </c>
      <c r="C92" s="28"/>
      <c r="D92" s="15"/>
      <c r="E92" s="15"/>
      <c r="F92" s="15"/>
      <c r="G92" s="15"/>
      <c r="H92" s="15"/>
      <c r="I92" s="15"/>
      <c r="J92" s="15"/>
      <c r="K92" s="15"/>
      <c r="L92" s="15"/>
    </row>
    <row r="93" customFormat="false" ht="16.4" hidden="false" customHeight="false" outlineLevel="0" collapsed="false">
      <c r="A93" s="6" t="s">
        <v>39</v>
      </c>
      <c r="B93" s="7" t="s">
        <v>40</v>
      </c>
      <c r="C93" s="7" t="s">
        <v>41</v>
      </c>
      <c r="D93" s="7" t="s">
        <v>42</v>
      </c>
      <c r="E93" s="7" t="s">
        <v>43</v>
      </c>
      <c r="F93" s="7" t="s">
        <v>44</v>
      </c>
      <c r="G93" s="7" t="s">
        <v>45</v>
      </c>
      <c r="H93" s="7" t="s">
        <v>46</v>
      </c>
      <c r="I93" s="8" t="s">
        <v>47</v>
      </c>
      <c r="J93" s="29" t="s">
        <v>48</v>
      </c>
      <c r="K93" s="15"/>
      <c r="L93" s="6" t="s">
        <v>49</v>
      </c>
      <c r="M93" s="24" t="n">
        <v>2007</v>
      </c>
      <c r="N93" s="24" t="n">
        <v>2008</v>
      </c>
      <c r="O93" s="24" t="n">
        <v>2009</v>
      </c>
      <c r="P93" s="24" t="n">
        <v>2010</v>
      </c>
      <c r="Q93" s="24" t="s">
        <v>50</v>
      </c>
    </row>
    <row r="94" customFormat="false" ht="15" hidden="false" customHeight="false" outlineLevel="0" collapsed="false">
      <c r="A94" s="24" t="s">
        <v>16</v>
      </c>
      <c r="B94" s="30" t="n">
        <v>6712920.8</v>
      </c>
      <c r="C94" s="31" t="n">
        <f aca="false">((0.5*B94)+B95+B96+B97+(0.5*B98))/4</f>
        <v>6778234.6875</v>
      </c>
      <c r="D94" s="30" t="n">
        <f aca="false">B94-C94</f>
        <v>-65313.8875000011</v>
      </c>
      <c r="E94" s="31" t="s">
        <v>51</v>
      </c>
      <c r="F94" s="30" t="n">
        <f aca="false">E94-B94</f>
        <v>-26584083.52</v>
      </c>
      <c r="G94" s="30" t="n">
        <f aca="false">AVERAGE(F94:F95)</f>
        <v>-907496.515000001</v>
      </c>
      <c r="H94" s="30" t="n">
        <f aca="false">E94+G94</f>
        <v>-20778659.235</v>
      </c>
      <c r="I94" s="32" t="n">
        <f aca="false">B94-H94</f>
        <v>27491580.035</v>
      </c>
      <c r="J94" s="11" t="n">
        <f aca="false">STANDARDIZE(I94,$I$112,$I$116)</f>
        <v>3.65876435283485</v>
      </c>
      <c r="K94" s="15"/>
      <c r="L94" s="24" t="s">
        <v>52</v>
      </c>
      <c r="M94" s="24" t="s">
        <v>53</v>
      </c>
      <c r="N94" s="24" t="s">
        <v>54</v>
      </c>
      <c r="O94" s="24" t="s">
        <v>55</v>
      </c>
      <c r="P94" s="24" t="s">
        <v>56</v>
      </c>
      <c r="Q94" s="24" t="s">
        <v>51</v>
      </c>
    </row>
    <row r="95" customFormat="false" ht="15" hidden="false" customHeight="false" outlineLevel="0" collapsed="false">
      <c r="A95" s="24" t="s">
        <v>17</v>
      </c>
      <c r="B95" s="30" t="n">
        <v>6801412</v>
      </c>
      <c r="C95" s="31" t="n">
        <f aca="false">((0.5*B95)+B96+B97+B98+(0.5*B99))/4</f>
        <v>6818800.3875</v>
      </c>
      <c r="D95" s="30" t="n">
        <f aca="false">B95-C95</f>
        <v>-17388.3874999993</v>
      </c>
      <c r="E95" s="31" t="s">
        <v>57</v>
      </c>
      <c r="F95" s="30" t="n">
        <f aca="false">(B95-E95)</f>
        <v>24769090.49</v>
      </c>
      <c r="G95" s="30" t="n">
        <f aca="false">AVERAGE(F95:F96)</f>
        <v>23862703.835</v>
      </c>
      <c r="H95" s="30" t="n">
        <f aca="false">E95+G95</f>
        <v>5895025.345</v>
      </c>
      <c r="I95" s="32" t="n">
        <f aca="false">B95-H95</f>
        <v>906386.654999998</v>
      </c>
      <c r="J95" s="11" t="n">
        <f aca="false">STANDARDIZE(I95,$I$112,$I$116)</f>
        <v>-0.174774556842352</v>
      </c>
      <c r="K95" s="15"/>
      <c r="L95" s="24" t="s">
        <v>58</v>
      </c>
      <c r="M95" s="24" t="s">
        <v>59</v>
      </c>
      <c r="N95" s="24" t="s">
        <v>60</v>
      </c>
      <c r="O95" s="24" t="s">
        <v>61</v>
      </c>
      <c r="P95" s="24" t="s">
        <v>62</v>
      </c>
      <c r="Q95" s="24" t="s">
        <v>57</v>
      </c>
      <c r="ER95" s="24"/>
      <c r="ES95" s="24"/>
    </row>
    <row r="96" customFormat="false" ht="15" hidden="false" customHeight="false" outlineLevel="0" collapsed="false">
      <c r="A96" s="24" t="s">
        <v>18</v>
      </c>
      <c r="B96" s="30" t="n">
        <v>6793490.4</v>
      </c>
      <c r="C96" s="31" t="n">
        <f aca="false">((0.5*B96)+B97+B98+B99+(0.5*B100))/4</f>
        <v>6868544.925</v>
      </c>
      <c r="D96" s="30" t="n">
        <f aca="false">B96-C96</f>
        <v>-75054.5250000004</v>
      </c>
      <c r="E96" s="31" t="s">
        <v>63</v>
      </c>
      <c r="F96" s="30" t="n">
        <f aca="false">B96-E96</f>
        <v>22956317.18</v>
      </c>
      <c r="G96" s="30" t="n">
        <f aca="false">AVERAGE(F96:F97)</f>
        <v>21979892.395</v>
      </c>
      <c r="H96" s="30" t="n">
        <f aca="false">E96+G96</f>
        <v>5817065.615</v>
      </c>
      <c r="I96" s="32" t="n">
        <f aca="false">B96-H96</f>
        <v>976424.785</v>
      </c>
      <c r="J96" s="11" t="n">
        <f aca="false">STANDARDIZE(I96,$I$112,$I$116)</f>
        <v>-0.164675179618411</v>
      </c>
      <c r="K96" s="15"/>
      <c r="L96" s="24" t="s">
        <v>64</v>
      </c>
      <c r="M96" s="24" t="s">
        <v>65</v>
      </c>
      <c r="N96" s="24" t="s">
        <v>66</v>
      </c>
      <c r="O96" s="24" t="s">
        <v>67</v>
      </c>
      <c r="P96" s="24" t="s">
        <v>68</v>
      </c>
      <c r="Q96" s="24" t="s">
        <v>63</v>
      </c>
      <c r="ER96" s="24"/>
      <c r="ES96" s="24"/>
    </row>
    <row r="97" customFormat="false" ht="15" hidden="false" customHeight="false" outlineLevel="0" collapsed="false">
      <c r="A97" s="24" t="s">
        <v>19</v>
      </c>
      <c r="B97" s="30" t="n">
        <v>6728775.4</v>
      </c>
      <c r="C97" s="31" t="n">
        <f aca="false">((0.5*B97)+B98+B99+B100+(0.5*B101))/4</f>
        <v>6961865.1875</v>
      </c>
      <c r="D97" s="30" t="n">
        <f aca="false">B97-C97</f>
        <v>-233089.7875</v>
      </c>
      <c r="E97" s="31" t="s">
        <v>69</v>
      </c>
      <c r="F97" s="30" t="n">
        <f aca="false">B97-E97</f>
        <v>21003467.61</v>
      </c>
      <c r="G97" s="30" t="n">
        <f aca="false">AVERAGE(F97:F98)</f>
        <v>23870115.715</v>
      </c>
      <c r="H97" s="30" t="n">
        <f aca="false">E97+G97</f>
        <v>9595423.505</v>
      </c>
      <c r="I97" s="32" t="n">
        <f aca="false">B97-H97</f>
        <v>-2866648.105</v>
      </c>
      <c r="J97" s="11" t="n">
        <f aca="false">STANDARDIZE(I97,$I$112,$I$116)</f>
        <v>-0.71883964424946</v>
      </c>
      <c r="K97" s="15"/>
      <c r="L97" s="24" t="s">
        <v>70</v>
      </c>
      <c r="M97" s="24" t="s">
        <v>71</v>
      </c>
      <c r="N97" s="24" t="s">
        <v>72</v>
      </c>
      <c r="O97" s="24" t="s">
        <v>73</v>
      </c>
      <c r="P97" s="24" t="s">
        <v>74</v>
      </c>
      <c r="Q97" s="24" t="s">
        <v>69</v>
      </c>
      <c r="ER97" s="24"/>
      <c r="ES97" s="24"/>
    </row>
    <row r="98" customFormat="false" ht="15" hidden="false" customHeight="false" outlineLevel="0" collapsed="false">
      <c r="A98" s="24" t="s">
        <v>20</v>
      </c>
      <c r="B98" s="30" t="n">
        <v>6865601.1</v>
      </c>
      <c r="C98" s="31" t="n">
        <f aca="false">((0.5*B98)+B99+B100+B101+(0.5*B102))/4</f>
        <v>7111997.5375</v>
      </c>
      <c r="D98" s="30" t="n">
        <f aca="false">B98-C98</f>
        <v>-246396.4375</v>
      </c>
      <c r="E98" s="31" t="s">
        <v>51</v>
      </c>
      <c r="F98" s="30" t="n">
        <f aca="false">B98-E98</f>
        <v>26736763.82</v>
      </c>
      <c r="G98" s="30" t="n">
        <f aca="false">AVERAGE(F98:F99)</f>
        <v>25838849.805</v>
      </c>
      <c r="H98" s="30" t="n">
        <f aca="false">E98+G98</f>
        <v>5967687.085</v>
      </c>
      <c r="I98" s="32" t="n">
        <f aca="false">B98-H98</f>
        <v>897914.014999999</v>
      </c>
      <c r="J98" s="11" t="n">
        <f aca="false">STANDARDIZE(I98,$I$112,$I$116)</f>
        <v>-0.175996296877996</v>
      </c>
      <c r="K98" s="15"/>
      <c r="ER98" s="24"/>
      <c r="ES98" s="24"/>
    </row>
    <row r="99" customFormat="false" ht="15" hidden="false" customHeight="false" outlineLevel="0" collapsed="false">
      <c r="A99" s="24" t="s">
        <v>21</v>
      </c>
      <c r="B99" s="30" t="n">
        <v>6973257.3</v>
      </c>
      <c r="C99" s="31" t="n">
        <f aca="false">((0.5*B99)+B100+B101+B102+(0.5*B103))/4</f>
        <v>7301831.6</v>
      </c>
      <c r="D99" s="30" t="n">
        <f aca="false">B99-C99</f>
        <v>-328574.300000001</v>
      </c>
      <c r="E99" s="31" t="s">
        <v>57</v>
      </c>
      <c r="F99" s="30" t="n">
        <f aca="false">B99-E99</f>
        <v>24940935.79</v>
      </c>
      <c r="G99" s="30" t="n">
        <f aca="false">AVERAGE(F99:F100)</f>
        <v>24061681.985</v>
      </c>
      <c r="H99" s="30" t="n">
        <f aca="false">E99+G99</f>
        <v>6094003.495</v>
      </c>
      <c r="I99" s="32" t="n">
        <f aca="false">B99-H99</f>
        <v>879253.804999999</v>
      </c>
      <c r="J99" s="11" t="n">
        <f aca="false">STANDARDIZE(I99,$I$112,$I$116)</f>
        <v>-0.178687066889531</v>
      </c>
      <c r="K99" s="15"/>
      <c r="R99" s="15"/>
      <c r="ER99" s="24"/>
      <c r="ES99" s="24"/>
    </row>
    <row r="100" customFormat="false" ht="15" hidden="false" customHeight="false" outlineLevel="0" collapsed="false">
      <c r="A100" s="24" t="s">
        <v>22</v>
      </c>
      <c r="B100" s="30" t="n">
        <v>7019601.4</v>
      </c>
      <c r="C100" s="31" t="n">
        <f aca="false">((0.5*B100)+B101+B102+B103+(0.5*B104))/4</f>
        <v>7525880.6375</v>
      </c>
      <c r="D100" s="30" t="n">
        <f aca="false">B100-C100</f>
        <v>-506279.2375</v>
      </c>
      <c r="E100" s="31" t="s">
        <v>63</v>
      </c>
      <c r="F100" s="30" t="n">
        <f aca="false">B100-E100</f>
        <v>23182428.18</v>
      </c>
      <c r="G100" s="30" t="n">
        <f aca="false">AVERAGE(F100:F101)</f>
        <v>22353173.445</v>
      </c>
      <c r="H100" s="30" t="n">
        <f aca="false">E100+G100</f>
        <v>6190346.665</v>
      </c>
      <c r="I100" s="32" t="n">
        <f aca="false">B100-H100</f>
        <v>829254.734999999</v>
      </c>
      <c r="J100" s="11" t="n">
        <f aca="false">STANDARDIZE(I100,$I$112,$I$116)</f>
        <v>-0.185896846316483</v>
      </c>
      <c r="K100" s="15"/>
      <c r="R100" s="15"/>
    </row>
    <row r="101" customFormat="false" ht="16.4" hidden="false" customHeight="false" outlineLevel="0" collapsed="false">
      <c r="A101" s="24" t="s">
        <v>23</v>
      </c>
      <c r="B101" s="30" t="n">
        <v>7249226.5</v>
      </c>
      <c r="C101" s="31" t="n">
        <f aca="false">((0.5*B101)+B102+B103+B104+(0.5*B105))/4</f>
        <v>7747300.225</v>
      </c>
      <c r="D101" s="30" t="n">
        <f aca="false">B101-C101</f>
        <v>-498073.725</v>
      </c>
      <c r="E101" s="31" t="s">
        <v>69</v>
      </c>
      <c r="F101" s="30" t="n">
        <f aca="false">B101-E101</f>
        <v>21523918.71</v>
      </c>
      <c r="G101" s="30" t="n">
        <f aca="false">AVERAGE(F101:F102)</f>
        <v>21672409.86</v>
      </c>
      <c r="H101" s="30" t="n">
        <f aca="false">E101+G101</f>
        <v>7397717.65</v>
      </c>
      <c r="I101" s="32" t="n">
        <f aca="false">B101-H101</f>
        <v>-148491.149999999</v>
      </c>
      <c r="J101" s="11" t="n">
        <f aca="false">STANDARDIZE(I101,$I$112,$I$116)</f>
        <v>-0.326886112046032</v>
      </c>
      <c r="K101" s="15"/>
      <c r="L101" s="33" t="s">
        <v>75</v>
      </c>
      <c r="M101" s="9" t="n">
        <f aca="false">_xlfn.STDEV.P(B20:B35)</f>
        <v>726004.976184414</v>
      </c>
      <c r="R101" s="15"/>
      <c r="ET101" s="15"/>
    </row>
    <row r="102" customFormat="false" ht="15" hidden="false" customHeight="false" outlineLevel="0" collapsed="false">
      <c r="A102" s="24" t="s">
        <v>25</v>
      </c>
      <c r="B102" s="30" t="n">
        <v>7546208.8</v>
      </c>
      <c r="C102" s="31" t="n">
        <f aca="false">((0.5*B102)+B103+B104+B105+(0.5*B106))/4</f>
        <v>7942451.7125</v>
      </c>
      <c r="D102" s="30" t="n">
        <f aca="false">B102-C102</f>
        <v>-396242.9125</v>
      </c>
      <c r="E102" s="31" t="s">
        <v>51</v>
      </c>
      <c r="F102" s="30" t="n">
        <f aca="false">B102-E101</f>
        <v>21820901.01</v>
      </c>
      <c r="G102" s="30" t="n">
        <f aca="false">AVERAGE(F102:F103)</f>
        <v>23799950.8</v>
      </c>
      <c r="H102" s="30" t="n">
        <f aca="false">E102+G102</f>
        <v>3928788.08</v>
      </c>
      <c r="I102" s="32" t="n">
        <f aca="false">B102-H102</f>
        <v>3617420.72</v>
      </c>
      <c r="J102" s="11" t="n">
        <f aca="false">STANDARDIZE(I102,$I$112,$I$116)</f>
        <v>0.216151866941212</v>
      </c>
      <c r="K102" s="15"/>
      <c r="R102" s="15"/>
      <c r="ET102" s="15"/>
    </row>
    <row r="103" customFormat="false" ht="15" hidden="false" customHeight="false" outlineLevel="0" collapsed="false">
      <c r="A103" s="24" t="s">
        <v>26</v>
      </c>
      <c r="B103" s="30" t="n">
        <v>7811322.1</v>
      </c>
      <c r="C103" s="31" t="n">
        <f aca="false">((0.5*B103)+B104+B105+B106+(0.5*B107))/4</f>
        <v>8118605.6125</v>
      </c>
      <c r="D103" s="30" t="n">
        <f aca="false">B103-C103</f>
        <v>-307283.5125</v>
      </c>
      <c r="E103" s="31" t="s">
        <v>57</v>
      </c>
      <c r="F103" s="30" t="n">
        <f aca="false">B103-E103</f>
        <v>25779000.59</v>
      </c>
      <c r="G103" s="30" t="n">
        <f aca="false">AVERAGE(F103:F104)</f>
        <v>24957878.135</v>
      </c>
      <c r="H103" s="30" t="n">
        <f aca="false">E103+G103</f>
        <v>6990199.645</v>
      </c>
      <c r="I103" s="32" t="n">
        <f aca="false">B103-H103</f>
        <v>821122.455</v>
      </c>
      <c r="J103" s="11" t="n">
        <f aca="false">STANDARDIZE(I103,$I$112,$I$116)</f>
        <v>-0.187069507028736</v>
      </c>
      <c r="K103" s="15"/>
      <c r="N103" s="15"/>
      <c r="O103" s="15"/>
      <c r="P103" s="15"/>
      <c r="Q103" s="15"/>
      <c r="R103" s="15"/>
      <c r="ET103" s="15"/>
    </row>
    <row r="104" customFormat="false" ht="16.4" hidden="false" customHeight="false" outlineLevel="0" collapsed="false">
      <c r="A104" s="24" t="s">
        <v>27</v>
      </c>
      <c r="B104" s="30" t="n">
        <v>7973928.9</v>
      </c>
      <c r="C104" s="31" t="n">
        <f aca="false">((0.5*B104)+B105+B106+B107+(0.5*B108))/4</f>
        <v>8277502.775</v>
      </c>
      <c r="D104" s="30" t="n">
        <f aca="false">B104-C104</f>
        <v>-303573.875</v>
      </c>
      <c r="E104" s="31" t="s">
        <v>63</v>
      </c>
      <c r="F104" s="30" t="n">
        <f aca="false">B104-E104</f>
        <v>24136755.68</v>
      </c>
      <c r="G104" s="30" t="n">
        <f aca="false">AVERAGE(F104:F105)</f>
        <v>23238851.795</v>
      </c>
      <c r="H104" s="30" t="n">
        <f aca="false">E104+G104</f>
        <v>7076025.015</v>
      </c>
      <c r="I104" s="32" t="n">
        <f aca="false">B104-H104</f>
        <v>897903.884999998</v>
      </c>
      <c r="J104" s="11" t="n">
        <f aca="false">STANDARDIZE(I104,$I$112,$I$116)</f>
        <v>-0.175997757606478</v>
      </c>
      <c r="K104" s="15"/>
      <c r="L104" s="33" t="s">
        <v>76</v>
      </c>
      <c r="M104" s="34" t="n">
        <f aca="false">((B35/B20)^(1/15))-1</f>
        <v>0.0188318307305382</v>
      </c>
      <c r="N104" s="15"/>
      <c r="O104" s="15"/>
      <c r="P104" s="15"/>
      <c r="Q104" s="15"/>
      <c r="R104" s="15"/>
      <c r="ET104" s="15"/>
    </row>
    <row r="105" customFormat="false" ht="15" hidden="false" customHeight="false" outlineLevel="0" collapsed="false">
      <c r="A105" s="24" t="s">
        <v>28</v>
      </c>
      <c r="B105" s="30" t="n">
        <v>8066255.7</v>
      </c>
      <c r="C105" s="31" t="n">
        <f aca="false">((0.5*B105)+B106+B107+B108+(0.5*B109))/4</f>
        <v>8455079.2625</v>
      </c>
      <c r="D105" s="30" t="n">
        <f aca="false">B105-C105</f>
        <v>-388823.562499999</v>
      </c>
      <c r="E105" s="31" t="s">
        <v>69</v>
      </c>
      <c r="F105" s="30" t="n">
        <f aca="false">B105-E105</f>
        <v>22340947.91</v>
      </c>
      <c r="G105" s="30" t="n">
        <f aca="false">AVERAGE(F105:F106)</f>
        <v>25251251.065</v>
      </c>
      <c r="H105" s="30" t="n">
        <f aca="false">E105+G105</f>
        <v>10976558.855</v>
      </c>
      <c r="I105" s="32" t="n">
        <f aca="false">B105-H105</f>
        <v>-2910303.155</v>
      </c>
      <c r="J105" s="11" t="n">
        <f aca="false">STANDARDIZE(I105,$I$112,$I$116)</f>
        <v>-0.72513462696359</v>
      </c>
      <c r="K105" s="15"/>
      <c r="O105" s="15"/>
      <c r="P105" s="15"/>
      <c r="Q105" s="15"/>
      <c r="R105" s="15"/>
      <c r="ER105" s="15"/>
      <c r="ES105" s="15"/>
      <c r="ET105" s="15"/>
    </row>
    <row r="106" customFormat="false" ht="16.4" hidden="false" customHeight="false" outlineLevel="0" collapsed="false">
      <c r="A106" s="24" t="s">
        <v>29</v>
      </c>
      <c r="B106" s="30" t="n">
        <v>8290391.5</v>
      </c>
      <c r="C106" s="31"/>
      <c r="D106" s="30" t="n">
        <f aca="false">B106-C106</f>
        <v>8290391.5</v>
      </c>
      <c r="E106" s="31" t="s">
        <v>51</v>
      </c>
      <c r="F106" s="30" t="n">
        <f aca="false">B106-E106</f>
        <v>28161554.22</v>
      </c>
      <c r="G106" s="30" t="n">
        <f aca="false">AVERAGE(F106:F107)</f>
        <v>27302801.655</v>
      </c>
      <c r="H106" s="30" t="n">
        <f aca="false">E106+G106</f>
        <v>7431638.935</v>
      </c>
      <c r="I106" s="32" t="n">
        <f aca="false">B106-H106</f>
        <v>858752.565000001</v>
      </c>
      <c r="J106" s="11" t="n">
        <f aca="false">STANDARDIZE(I106,$I$112,$I$116)</f>
        <v>-0.181643310243237</v>
      </c>
      <c r="K106" s="15"/>
      <c r="L106" s="35" t="s">
        <v>77</v>
      </c>
      <c r="M106" s="35" t="s">
        <v>78</v>
      </c>
      <c r="N106" s="35" t="s">
        <v>79</v>
      </c>
      <c r="O106" s="15"/>
      <c r="P106" s="15"/>
      <c r="Q106" s="15"/>
      <c r="R106" s="15"/>
      <c r="ER106" s="15"/>
      <c r="ES106" s="15"/>
      <c r="ET106" s="15"/>
    </row>
    <row r="107" customFormat="false" ht="15" hidden="false" customHeight="false" outlineLevel="0" collapsed="false">
      <c r="A107" s="24" t="s">
        <v>30</v>
      </c>
      <c r="B107" s="30" t="n">
        <v>8476370.6</v>
      </c>
      <c r="C107" s="31"/>
      <c r="D107" s="30" t="n">
        <f aca="false">B107-C107</f>
        <v>8476370.6</v>
      </c>
      <c r="E107" s="31" t="s">
        <v>57</v>
      </c>
      <c r="F107" s="30" t="n">
        <f aca="false">B107-E107</f>
        <v>26444049.09</v>
      </c>
      <c r="G107" s="30" t="n">
        <f aca="false">AVERAGE(F107:F108)</f>
        <v>25593466.785</v>
      </c>
      <c r="H107" s="30" t="n">
        <f aca="false">E107+G107</f>
        <v>7625788.295</v>
      </c>
      <c r="I107" s="32" t="n">
        <f aca="false">B107-H107</f>
        <v>850582.305000002</v>
      </c>
      <c r="J107" s="11" t="n">
        <f aca="false">STANDARDIZE(I107,$I$112,$I$116)</f>
        <v>-0.182821447605809</v>
      </c>
      <c r="K107" s="15"/>
      <c r="L107" s="36" t="s">
        <v>80</v>
      </c>
      <c r="M107" s="11" t="n">
        <v>-1.5</v>
      </c>
      <c r="N107" s="11" t="n">
        <f aca="false">COUNTIF(J94:J109,"&lt;"&amp;M107)</f>
        <v>0</v>
      </c>
      <c r="O107" s="15"/>
      <c r="P107" s="15"/>
      <c r="Q107" s="15"/>
      <c r="R107" s="15"/>
      <c r="ER107" s="15"/>
      <c r="ES107" s="15"/>
      <c r="ET107" s="15"/>
    </row>
    <row r="108" customFormat="false" ht="15" hidden="false" customHeight="false" outlineLevel="0" collapsed="false">
      <c r="A108" s="24" t="s">
        <v>31</v>
      </c>
      <c r="B108" s="30" t="n">
        <v>8580057.7</v>
      </c>
      <c r="C108" s="31"/>
      <c r="D108" s="30" t="n">
        <f aca="false">B108-C108</f>
        <v>8580057.7</v>
      </c>
      <c r="E108" s="31" t="s">
        <v>63</v>
      </c>
      <c r="F108" s="30" t="n">
        <f aca="false">B108-E108</f>
        <v>24742884.48</v>
      </c>
      <c r="G108" s="30" t="n">
        <f aca="false">AVERAGE(F108:F109)</f>
        <v>23949157.745</v>
      </c>
      <c r="H108" s="30" t="n">
        <f aca="false">E108+G108</f>
        <v>7786330.965</v>
      </c>
      <c r="I108" s="32" t="n">
        <f aca="false">B108-H108</f>
        <v>793726.735000001</v>
      </c>
      <c r="J108" s="11" t="n">
        <f aca="false">STANDARDIZE(I108,$I$112,$I$116)</f>
        <v>-0.191019922475314</v>
      </c>
      <c r="K108" s="15"/>
      <c r="L108" s="11" t="n">
        <f aca="false">M107</f>
        <v>-1.5</v>
      </c>
      <c r="M108" s="11" t="n">
        <f aca="false">M107+0.5</f>
        <v>-1</v>
      </c>
      <c r="N108" s="11" t="n">
        <f aca="false">COUNTIF($J$94:$J$109,"&gt;="&amp;M108)-COUNTIF($J$94:$J$109,"&gt;"&amp;M109)</f>
        <v>2</v>
      </c>
      <c r="O108" s="15"/>
      <c r="P108" s="15"/>
      <c r="Q108" s="15"/>
      <c r="R108" s="15"/>
      <c r="ER108" s="15"/>
      <c r="ES108" s="15"/>
      <c r="ET108" s="15"/>
    </row>
    <row r="109" customFormat="false" ht="15" hidden="false" customHeight="false" outlineLevel="0" collapsed="false">
      <c r="A109" s="24" t="s">
        <v>32</v>
      </c>
      <c r="B109" s="30" t="n">
        <v>8880738.8</v>
      </c>
      <c r="C109" s="31"/>
      <c r="D109" s="30" t="n">
        <f aca="false">B109-C109</f>
        <v>8880738.8</v>
      </c>
      <c r="E109" s="30" t="s">
        <v>69</v>
      </c>
      <c r="F109" s="30" t="n">
        <f aca="false">B109-E109</f>
        <v>23155431.01</v>
      </c>
      <c r="G109" s="30" t="n">
        <f aca="false">AVERAGE(F109:F110)</f>
        <v>23155431.01</v>
      </c>
      <c r="H109" s="30" t="n">
        <f aca="false">E109+G109</f>
        <v>8880738.8</v>
      </c>
      <c r="I109" s="32" t="n">
        <f aca="false">B109-H109</f>
        <v>0</v>
      </c>
      <c r="J109" s="11" t="n">
        <f aca="false">STANDARDIZE(I109,$I$112,$I$116)</f>
        <v>-0.305473945012635</v>
      </c>
      <c r="K109" s="15"/>
      <c r="L109" s="11" t="n">
        <f aca="false">M108</f>
        <v>-1</v>
      </c>
      <c r="M109" s="11" t="n">
        <f aca="false">M108+0.5</f>
        <v>-0.5</v>
      </c>
      <c r="N109" s="11" t="n">
        <f aca="false">COUNTIF($J$94:$J$109,"&gt;="&amp;M109)-COUNTIF($J$94:$J$109,"&gt;"&amp;M110)</f>
        <v>12</v>
      </c>
      <c r="O109" s="15"/>
      <c r="P109" s="15"/>
      <c r="Q109" s="15"/>
      <c r="R109" s="15"/>
      <c r="ER109" s="15"/>
      <c r="ES109" s="15"/>
      <c r="ET109" s="15"/>
    </row>
    <row r="110" customFormat="false" ht="15" hidden="false" customHeight="false" outlineLevel="0" collapsed="false">
      <c r="L110" s="11" t="n">
        <f aca="false">M109</f>
        <v>-0.5</v>
      </c>
      <c r="M110" s="11" t="n">
        <f aca="false">M109+0.5</f>
        <v>0</v>
      </c>
      <c r="N110" s="11" t="n">
        <f aca="false">COUNTIF($J$94:$J$109,"&gt;="&amp;M110)-COUNTIF($J$94:$J$109,"&gt;"&amp;M111)</f>
        <v>1</v>
      </c>
      <c r="ER110" s="15"/>
      <c r="ES110" s="15"/>
      <c r="ET110" s="15"/>
    </row>
    <row r="111" customFormat="false" ht="16.4" hidden="false" customHeight="false" outlineLevel="0" collapsed="false">
      <c r="E111" s="23"/>
      <c r="F111" s="23"/>
      <c r="G111" s="23"/>
      <c r="I111" s="25" t="s">
        <v>47</v>
      </c>
      <c r="J111" s="37" t="s">
        <v>48</v>
      </c>
      <c r="L111" s="11" t="n">
        <f aca="false">M110</f>
        <v>0</v>
      </c>
      <c r="M111" s="11" t="n">
        <f aca="false">M110+0.5</f>
        <v>0.5</v>
      </c>
      <c r="N111" s="11" t="n">
        <f aca="false">COUNTIF($J$94:$J$109,"&gt;="&amp;M111)-COUNTIF($J$94:$J$109,"&gt;"&amp;M112)</f>
        <v>0</v>
      </c>
      <c r="ER111" s="15"/>
      <c r="ES111" s="15"/>
      <c r="ET111" s="15"/>
    </row>
    <row r="112" customFormat="false" ht="17.25" hidden="false" customHeight="true" outlineLevel="0" collapsed="false">
      <c r="E112" s="23"/>
      <c r="F112" s="23"/>
      <c r="G112" s="23"/>
      <c r="H112" s="38" t="s">
        <v>81</v>
      </c>
      <c r="I112" s="24" t="n">
        <f aca="false">AVERAGE(I94:I109)</f>
        <v>2118430.0178125</v>
      </c>
      <c r="J112" s="24" t="n">
        <f aca="false">AVERAGE(J94:J109)</f>
        <v>0</v>
      </c>
      <c r="L112" s="11" t="n">
        <f aca="false">M111</f>
        <v>0.5</v>
      </c>
      <c r="M112" s="11" t="n">
        <f aca="false">M111+0.5</f>
        <v>1</v>
      </c>
      <c r="N112" s="11" t="n">
        <f aca="false">COUNTIF($J$94:$J$109,"&gt;="&amp;M112)-COUNTIF($J$94:$J$109,"&gt;"&amp;M113)</f>
        <v>0</v>
      </c>
    </row>
    <row r="113" customFormat="false" ht="15" hidden="false" customHeight="false" outlineLevel="0" collapsed="false">
      <c r="E113" s="23"/>
      <c r="F113" s="23"/>
      <c r="G113" s="23"/>
      <c r="H113" s="39" t="s">
        <v>82</v>
      </c>
      <c r="I113" s="40" t="n">
        <f aca="false">VAR(I94:I109)</f>
        <v>48092781551909.2</v>
      </c>
      <c r="J113" s="41" t="n">
        <f aca="false">VAR(J94:J109)</f>
        <v>1</v>
      </c>
      <c r="L113" s="11" t="n">
        <f aca="false">M112</f>
        <v>1</v>
      </c>
      <c r="M113" s="11" t="n">
        <f aca="false">M112+0.5</f>
        <v>1.5</v>
      </c>
      <c r="N113" s="11" t="n">
        <f aca="false">COUNTIF($J$94:$J$109,"&gt;="&amp;M113)-COUNTIF($J$94:$J$109,"&gt;"&amp;M114)</f>
        <v>1</v>
      </c>
    </row>
    <row r="114" customFormat="false" ht="15" hidden="false" customHeight="false" outlineLevel="0" collapsed="false">
      <c r="E114" s="23"/>
      <c r="F114" s="23"/>
      <c r="G114" s="23"/>
      <c r="H114" s="35" t="s">
        <v>83</v>
      </c>
      <c r="I114" s="11"/>
      <c r="J114" s="24" t="n">
        <f aca="false">MIN(J94:J109)</f>
        <v>-0.72513462696359</v>
      </c>
      <c r="L114" s="11" t="n">
        <f aca="false">M113</f>
        <v>1.5</v>
      </c>
      <c r="M114" s="42" t="s">
        <v>84</v>
      </c>
      <c r="N114" s="11" t="n">
        <f aca="false">COUNTIF($J$94:$J$109,"&gt;="&amp;M114)-COUNTIF($J$94:$J$109,"&gt;"&amp;M115)</f>
        <v>0</v>
      </c>
    </row>
    <row r="115" customFormat="false" ht="15" hidden="false" customHeight="false" outlineLevel="0" collapsed="false">
      <c r="E115" s="23"/>
      <c r="F115" s="23"/>
      <c r="G115" s="23"/>
      <c r="H115" s="35" t="s">
        <v>85</v>
      </c>
      <c r="I115" s="11"/>
      <c r="J115" s="24" t="n">
        <f aca="false">MAX(J94:J109)</f>
        <v>3.65876435283485</v>
      </c>
      <c r="K115" s="23"/>
      <c r="L115" s="23"/>
      <c r="M115" s="23"/>
    </row>
    <row r="116" customFormat="false" ht="15" hidden="false" customHeight="false" outlineLevel="0" collapsed="false">
      <c r="C116" s="23"/>
      <c r="H116" s="35" t="s">
        <v>86</v>
      </c>
      <c r="I116" s="11" t="n">
        <f aca="false">SQRT(I113)</f>
        <v>6934895.92942166</v>
      </c>
      <c r="J116" s="11"/>
      <c r="K116" s="23"/>
      <c r="L116" s="23"/>
    </row>
    <row r="117" customFormat="false" ht="15" hidden="false" customHeight="false" outlineLevel="0" collapsed="false">
      <c r="C117" s="23"/>
      <c r="H117" s="43"/>
      <c r="K117" s="23"/>
      <c r="L117" s="23"/>
    </row>
    <row r="118" customFormat="false" ht="15" hidden="false" customHeight="false" outlineLevel="0" collapsed="false">
      <c r="C118" s="23"/>
      <c r="H118" s="43"/>
      <c r="K118" s="23"/>
      <c r="L118" s="23"/>
    </row>
    <row r="119" customFormat="false" ht="15" hidden="false" customHeight="false" outlineLevel="0" collapsed="false">
      <c r="C119" s="23"/>
      <c r="H119" s="43"/>
      <c r="K119" s="23"/>
      <c r="L119" s="23"/>
    </row>
    <row r="120" customFormat="false" ht="15" hidden="false" customHeight="false" outlineLevel="0" collapsed="false">
      <c r="A120" s="23"/>
      <c r="B120" s="43" t="s">
        <v>11</v>
      </c>
      <c r="C120" s="43"/>
    </row>
    <row r="121" customFormat="false" ht="16.4" hidden="false" customHeight="false" outlineLevel="0" collapsed="false">
      <c r="A121" s="44" t="s">
        <v>39</v>
      </c>
      <c r="B121" s="45" t="s">
        <v>87</v>
      </c>
      <c r="C121" s="45" t="s">
        <v>88</v>
      </c>
      <c r="D121" s="45" t="s">
        <v>89</v>
      </c>
      <c r="E121" s="45" t="s">
        <v>90</v>
      </c>
      <c r="F121" s="45" t="s">
        <v>91</v>
      </c>
      <c r="G121" s="45" t="s">
        <v>92</v>
      </c>
      <c r="H121" s="45" t="s">
        <v>93</v>
      </c>
      <c r="I121" s="46" t="s">
        <v>94</v>
      </c>
      <c r="J121" s="29" t="s">
        <v>48</v>
      </c>
      <c r="L121" s="47" t="s">
        <v>95</v>
      </c>
      <c r="M121" s="11" t="n">
        <v>2007</v>
      </c>
      <c r="N121" s="11" t="n">
        <v>2008</v>
      </c>
      <c r="O121" s="11" t="n">
        <v>2009</v>
      </c>
      <c r="P121" s="11" t="n">
        <v>2010</v>
      </c>
      <c r="Q121" s="36" t="s">
        <v>96</v>
      </c>
    </row>
    <row r="122" customFormat="false" ht="15" hidden="false" customHeight="false" outlineLevel="0" collapsed="false">
      <c r="A122" s="10" t="s">
        <v>16</v>
      </c>
      <c r="B122" s="10" t="n">
        <v>1613974.4</v>
      </c>
      <c r="C122" s="10" t="n">
        <f aca="false">(0.5*B122)+B123+B124+B125+(0.5*B126)/4</f>
        <v>5876077.5125</v>
      </c>
      <c r="D122" s="10" t="n">
        <f aca="false">B122-C122</f>
        <v>-4262103.1125</v>
      </c>
      <c r="E122" s="10" t="n">
        <v>-4600010.771875</v>
      </c>
      <c r="F122" s="10" t="n">
        <f aca="false">B122-E122</f>
        <v>6213985.171875</v>
      </c>
      <c r="G122" s="10" t="n">
        <f aca="false">AVERAGE(F122:F123)</f>
        <v>5993480.934375</v>
      </c>
      <c r="H122" s="10" t="n">
        <f aca="false">E122-G122</f>
        <v>-10593491.70625</v>
      </c>
      <c r="I122" s="12" t="n">
        <f aca="false">B122-H122</f>
        <v>12207466.10625</v>
      </c>
      <c r="J122" s="11" t="n">
        <f aca="false">STANDARDIZE(I122,$I$140,$I$144)</f>
        <v>1.31115226611705</v>
      </c>
      <c r="L122" s="11" t="s">
        <v>52</v>
      </c>
      <c r="M122" s="10" t="n">
        <v>-4262103.1125</v>
      </c>
      <c r="N122" s="10" t="n">
        <v>-4425206.9875</v>
      </c>
      <c r="O122" s="10" t="n">
        <v>-4748080.2375</v>
      </c>
      <c r="P122" s="10" t="n">
        <v>-4964652.75</v>
      </c>
      <c r="Q122" s="10" t="n">
        <f aca="false">AVERAGE(M122:P122)</f>
        <v>-4600010.771875</v>
      </c>
    </row>
    <row r="123" customFormat="false" ht="15" hidden="false" customHeight="false" outlineLevel="0" collapsed="false">
      <c r="A123" s="10" t="s">
        <v>17</v>
      </c>
      <c r="B123" s="10" t="n">
        <v>1632335.5</v>
      </c>
      <c r="C123" s="10" t="n">
        <f aca="false">(0.5*B123)+B124+B125+B126+(0.5*B127)/4</f>
        <v>5894940.375</v>
      </c>
      <c r="D123" s="10" t="n">
        <f aca="false">B123-C123</f>
        <v>-4262604.875</v>
      </c>
      <c r="E123" s="10" t="n">
        <v>-4140641.196875</v>
      </c>
      <c r="F123" s="10" t="n">
        <f aca="false">B123-E123</f>
        <v>5772976.696875</v>
      </c>
      <c r="G123" s="10" t="n">
        <f aca="false">AVERAGE(F122:F124)</f>
        <v>5776522.99479167</v>
      </c>
      <c r="H123" s="10" t="n">
        <f aca="false">E123-G123</f>
        <v>-9917164.19166667</v>
      </c>
      <c r="I123" s="12" t="n">
        <f aca="false">B123-H123</f>
        <v>11549499.6916667</v>
      </c>
      <c r="J123" s="11" t="n">
        <f aca="false">STANDARDIZE(I123,$I$140,$I$144)</f>
        <v>0.312559383108127</v>
      </c>
      <c r="L123" s="11" t="s">
        <v>58</v>
      </c>
      <c r="M123" s="10" t="n">
        <v>-4262604.875</v>
      </c>
      <c r="N123" s="10" t="n">
        <v>-4459879.9125</v>
      </c>
      <c r="O123" s="10" t="n">
        <v>-4761822.7</v>
      </c>
      <c r="P123" s="10" t="n">
        <v>-3078257.3</v>
      </c>
      <c r="Q123" s="10" t="n">
        <f aca="false">AVERAGE(M123:P123)</f>
        <v>-4140641.196875</v>
      </c>
      <c r="ER123" s="11"/>
      <c r="ES123" s="36"/>
    </row>
    <row r="124" customFormat="false" ht="15" hidden="false" customHeight="false" outlineLevel="0" collapsed="false">
      <c r="A124" s="10" t="s">
        <v>18</v>
      </c>
      <c r="B124" s="10" t="n">
        <v>1612995</v>
      </c>
      <c r="C124" s="10" t="n">
        <f aca="false">(0.5*B124)+B125+B126+B127+(0.5*B128)/4</f>
        <v>5944915.0375</v>
      </c>
      <c r="D124" s="10" t="n">
        <f aca="false">B124-C124</f>
        <v>-4331920.0375</v>
      </c>
      <c r="E124" s="10" t="n">
        <v>-3729612.115625</v>
      </c>
      <c r="F124" s="10" t="n">
        <f aca="false">B124-E124</f>
        <v>5342607.115625</v>
      </c>
      <c r="G124" s="10" t="n">
        <f aca="false">AVERAGE(F123:F125)</f>
        <v>5323145.65208333</v>
      </c>
      <c r="H124" s="10" t="n">
        <f aca="false">E124-G124</f>
        <v>-9052757.76770833</v>
      </c>
      <c r="I124" s="12" t="n">
        <f aca="false">B124-H124</f>
        <v>10665752.7677083</v>
      </c>
      <c r="J124" s="11" t="n">
        <f aca="false">STANDARDIZE(I124,$I$140,$I$144)</f>
        <v>-1.02869963723971</v>
      </c>
      <c r="L124" s="11" t="s">
        <v>64</v>
      </c>
      <c r="M124" s="10" t="n">
        <v>-4331920.0375</v>
      </c>
      <c r="N124" s="10" t="n">
        <v>-4577542.5125</v>
      </c>
      <c r="O124" s="10" t="n">
        <v>-4835678.9625</v>
      </c>
      <c r="P124" s="10" t="n">
        <v>-1173306.95</v>
      </c>
      <c r="Q124" s="10" t="n">
        <f aca="false">AVERAGE(M124:P124)</f>
        <v>-3729612.115625</v>
      </c>
      <c r="ER124" s="10"/>
      <c r="ES124" s="10"/>
    </row>
    <row r="125" customFormat="false" ht="15" hidden="false" customHeight="false" outlineLevel="0" collapsed="false">
      <c r="A125" s="10" t="s">
        <v>19</v>
      </c>
      <c r="B125" s="10" t="n">
        <v>1619064.6</v>
      </c>
      <c r="C125" s="10" t="n">
        <f aca="false">(0.5*B125)+B126+B127+B128+(0.5*B129)/4</f>
        <v>5999879.95</v>
      </c>
      <c r="D125" s="10" t="n">
        <f aca="false">B125-C125</f>
        <v>-4380815.35</v>
      </c>
      <c r="E125" s="10" t="n">
        <v>-3234788.54375</v>
      </c>
      <c r="F125" s="10" t="n">
        <f aca="false">B125-E125</f>
        <v>4853853.14375</v>
      </c>
      <c r="G125" s="10" t="n">
        <f aca="false">AVERAGE(F124:F126)</f>
        <v>5478010.91041667</v>
      </c>
      <c r="H125" s="10" t="n">
        <f aca="false">E125-G125</f>
        <v>-8712799.45416667</v>
      </c>
      <c r="I125" s="12" t="n">
        <f aca="false">B125-H125</f>
        <v>10331864.0541667</v>
      </c>
      <c r="J125" s="11" t="n">
        <f aca="false">STANDARDIZE(I125,$I$140,$I$144)</f>
        <v>-1.53544114511873</v>
      </c>
      <c r="L125" s="11" t="s">
        <v>70</v>
      </c>
      <c r="M125" s="10" t="n">
        <v>-4380815.35</v>
      </c>
      <c r="N125" s="10" t="n">
        <v>-4673490.1</v>
      </c>
      <c r="O125" s="10" t="n">
        <v>-4944469.625</v>
      </c>
      <c r="P125" s="10" t="n">
        <v>1059620.9</v>
      </c>
      <c r="Q125" s="10" t="n">
        <f aca="false">AVERAGE(M125:P125)</f>
        <v>-3234788.54375</v>
      </c>
      <c r="ER125" s="10"/>
      <c r="ES125" s="10"/>
    </row>
    <row r="126" customFormat="false" ht="15" hidden="false" customHeight="false" outlineLevel="0" collapsed="false">
      <c r="A126" s="10" t="s">
        <v>20</v>
      </c>
      <c r="B126" s="10" t="n">
        <v>1637561.7</v>
      </c>
      <c r="C126" s="10" t="n">
        <f aca="false">(0.5*B126)+B127+B128+B129+(0.5*B130)/4</f>
        <v>6062768.6875</v>
      </c>
      <c r="D126" s="10" t="n">
        <f aca="false">B126-C126</f>
        <v>-4425206.9875</v>
      </c>
      <c r="E126" s="10" t="n">
        <v>-4600010.771875</v>
      </c>
      <c r="F126" s="10" t="n">
        <f aca="false">B126-E126</f>
        <v>6237572.471875</v>
      </c>
      <c r="G126" s="10" t="n">
        <f aca="false">AVERAGE(F125:F127)</f>
        <v>5635092.47083333</v>
      </c>
      <c r="H126" s="10" t="n">
        <f aca="false">E126-G126</f>
        <v>-10235103.2427083</v>
      </c>
      <c r="I126" s="12" t="n">
        <f aca="false">B126-H126</f>
        <v>11872664.9427083</v>
      </c>
      <c r="J126" s="11" t="n">
        <f aca="false">STANDARDIZE(I126,$I$140,$I$144)</f>
        <v>0.803025936678892</v>
      </c>
      <c r="ER126" s="10"/>
      <c r="ES126" s="10"/>
    </row>
    <row r="127" customFormat="false" ht="15" hidden="false" customHeight="false" outlineLevel="0" collapsed="false">
      <c r="A127" s="10" t="s">
        <v>21</v>
      </c>
      <c r="B127" s="10" t="n">
        <v>1673210.6</v>
      </c>
      <c r="C127" s="10" t="n">
        <f aca="false">(0.5*B127)+B128+B129+B130+(0.5*B131)/4</f>
        <v>6133090.5125</v>
      </c>
      <c r="D127" s="10" t="n">
        <f aca="false">B127-C127</f>
        <v>-4459879.9125</v>
      </c>
      <c r="E127" s="10" t="n">
        <v>-4140641.196875</v>
      </c>
      <c r="F127" s="10" t="n">
        <f aca="false">B127-E127</f>
        <v>5813851.796875</v>
      </c>
      <c r="G127" s="10" t="n">
        <f aca="false">AVERAGE(F126:F128)</f>
        <v>5816560.49479167</v>
      </c>
      <c r="H127" s="10" t="n">
        <f aca="false">E127-G127</f>
        <v>-9957201.69166667</v>
      </c>
      <c r="I127" s="12" t="n">
        <f aca="false">B127-H127</f>
        <v>11630412.2916667</v>
      </c>
      <c r="J127" s="11" t="n">
        <f aca="false">STANDARDIZE(I127,$I$140,$I$144)</f>
        <v>0.435360098638439</v>
      </c>
      <c r="ER127" s="10"/>
      <c r="ES127" s="10"/>
    </row>
    <row r="128" customFormat="false" ht="15" hidden="false" customHeight="false" outlineLevel="0" collapsed="false">
      <c r="A128" s="10" t="s">
        <v>22</v>
      </c>
      <c r="B128" s="10" t="n">
        <v>1668645.1</v>
      </c>
      <c r="C128" s="10" t="n">
        <f aca="false">(0.5*B128)+B129+B130+B131+(0.5*B132)/4</f>
        <v>6246187.6125</v>
      </c>
      <c r="D128" s="10" t="n">
        <f aca="false">B128-C128</f>
        <v>-4577542.5125</v>
      </c>
      <c r="E128" s="10" t="n">
        <v>-3729612.115625</v>
      </c>
      <c r="F128" s="10" t="n">
        <f aca="false">B128-E128</f>
        <v>5398257.215625</v>
      </c>
      <c r="G128" s="10" t="n">
        <f aca="false">AVERAGE(F127:F129)</f>
        <v>5378113.18541667</v>
      </c>
      <c r="H128" s="10" t="n">
        <f aca="false">E128-G128</f>
        <v>-9107725.30104167</v>
      </c>
      <c r="I128" s="12" t="n">
        <f aca="false">B128-H128</f>
        <v>10776370.4010417</v>
      </c>
      <c r="J128" s="11" t="n">
        <f aca="false">STANDARDIZE(I128,$I$140,$I$144)</f>
        <v>-0.860815716520275</v>
      </c>
    </row>
    <row r="129" customFormat="false" ht="16.4" hidden="false" customHeight="false" outlineLevel="0" collapsed="false">
      <c r="A129" s="10" t="s">
        <v>23</v>
      </c>
      <c r="B129" s="10" t="n">
        <v>1687442</v>
      </c>
      <c r="C129" s="10" t="n">
        <f aca="false">(0.5*B129)+B130+B131+B132+(0.5*B133)/4</f>
        <v>6360932.1</v>
      </c>
      <c r="D129" s="10" t="n">
        <f aca="false">B129-C129</f>
        <v>-4673490.1</v>
      </c>
      <c r="E129" s="10" t="n">
        <v>-3234788.54375</v>
      </c>
      <c r="F129" s="10" t="n">
        <f aca="false">B129-E129</f>
        <v>4922230.54375</v>
      </c>
      <c r="G129" s="10" t="n">
        <f aca="false">AVERAGE(F128:F130)</f>
        <v>5546006.54375</v>
      </c>
      <c r="H129" s="10" t="n">
        <f aca="false">E129-G129</f>
        <v>-8780795.0875</v>
      </c>
      <c r="I129" s="12" t="n">
        <f aca="false">B129-H129</f>
        <v>10468237.0875</v>
      </c>
      <c r="J129" s="11" t="n">
        <f aca="false">STANDARDIZE(I129,$I$140,$I$144)</f>
        <v>-1.3284683612461</v>
      </c>
      <c r="L129" s="33" t="s">
        <v>75</v>
      </c>
      <c r="M129" s="9" t="n">
        <f aca="false">_xlfn.STDEV.P(C20:C35)</f>
        <v>132130.035213847</v>
      </c>
    </row>
    <row r="130" customFormat="false" ht="15" hidden="false" customHeight="false" outlineLevel="0" collapsed="false">
      <c r="A130" s="10" t="s">
        <v>25</v>
      </c>
      <c r="B130" s="10" t="n">
        <v>1717521.1</v>
      </c>
      <c r="C130" s="10" t="n">
        <f aca="false">(0.5*B130)+B131+B132+B133+(0.5*B134)/4</f>
        <v>6465601.3375</v>
      </c>
      <c r="D130" s="10" t="n">
        <f aca="false">B130-C130</f>
        <v>-4748080.2375</v>
      </c>
      <c r="E130" s="10" t="n">
        <v>-4600010.771875</v>
      </c>
      <c r="F130" s="10" t="n">
        <f aca="false">B130-E130</f>
        <v>6317531.871875</v>
      </c>
      <c r="G130" s="10" t="n">
        <f aca="false">AVERAGE(F129:F131)</f>
        <v>5721139.90416667</v>
      </c>
      <c r="H130" s="10" t="n">
        <f aca="false">E130-G130</f>
        <v>-10321150.6760417</v>
      </c>
      <c r="I130" s="12" t="n">
        <f aca="false">B130-H130</f>
        <v>12038671.7760417</v>
      </c>
      <c r="J130" s="11" t="n">
        <f aca="false">STANDARDIZE(I130,$I$140,$I$144)</f>
        <v>1.05497381520776</v>
      </c>
    </row>
    <row r="131" customFormat="false" ht="15" hidden="false" customHeight="false" outlineLevel="0" collapsed="false">
      <c r="A131" s="10" t="s">
        <v>26</v>
      </c>
      <c r="B131" s="10" t="n">
        <v>1783016.1</v>
      </c>
      <c r="C131" s="10" t="n">
        <f aca="false">(0.5*B131)+B132+B133+B134+(0.5*B135)/4</f>
        <v>6544838.8</v>
      </c>
      <c r="D131" s="10" t="n">
        <f aca="false">B131-C131</f>
        <v>-4761822.7</v>
      </c>
      <c r="E131" s="10" t="n">
        <v>-4140641.196875</v>
      </c>
      <c r="F131" s="10" t="n">
        <f aca="false">B131-E131</f>
        <v>5923657.296875</v>
      </c>
      <c r="G131" s="10" t="n">
        <f aca="false">AVERAGE(F130:F132)</f>
        <v>5920629.39479167</v>
      </c>
      <c r="H131" s="10" t="n">
        <f aca="false">E131-G131</f>
        <v>-10061270.5916667</v>
      </c>
      <c r="I131" s="12" t="n">
        <f aca="false">B131-H131</f>
        <v>11844286.6916667</v>
      </c>
      <c r="J131" s="11" t="n">
        <f aca="false">STANDARDIZE(I131,$I$140,$I$144)</f>
        <v>0.759956383439772</v>
      </c>
    </row>
    <row r="132" customFormat="false" ht="16.4" hidden="false" customHeight="false" outlineLevel="0" collapsed="false">
      <c r="A132" s="10" t="s">
        <v>27</v>
      </c>
      <c r="B132" s="10" t="n">
        <v>1791086.9</v>
      </c>
      <c r="C132" s="10" t="n">
        <f aca="false">(0.5*B132)+B133+B134+B135+(0.5*B136)/4</f>
        <v>6626765.8625</v>
      </c>
      <c r="D132" s="10" t="n">
        <f aca="false">B132-C132</f>
        <v>-4835678.9625</v>
      </c>
      <c r="E132" s="10" t="n">
        <v>-3729612.115625</v>
      </c>
      <c r="F132" s="10" t="n">
        <f aca="false">B132-E132</f>
        <v>5520699.015625</v>
      </c>
      <c r="G132" s="10" t="n">
        <f aca="false">AVERAGE(F131:F133)</f>
        <v>5494613.61875</v>
      </c>
      <c r="H132" s="10" t="n">
        <f aca="false">E132-G132</f>
        <v>-9224225.734375</v>
      </c>
      <c r="I132" s="12" t="n">
        <f aca="false">B132-H132</f>
        <v>11015312.634375</v>
      </c>
      <c r="J132" s="11" t="n">
        <f aca="false">STANDARDIZE(I132,$I$140,$I$144)</f>
        <v>-0.498174085627875</v>
      </c>
      <c r="L132" s="33" t="s">
        <v>76</v>
      </c>
      <c r="M132" s="34" t="n">
        <f aca="false">(C35/C20)^(1/15)-1</f>
        <v>0.018323089994712</v>
      </c>
    </row>
    <row r="133" customFormat="false" ht="15" hidden="false" customHeight="false" outlineLevel="0" collapsed="false">
      <c r="A133" s="10" t="s">
        <v>28</v>
      </c>
      <c r="B133" s="10" t="n">
        <v>1804696</v>
      </c>
      <c r="C133" s="10" t="n">
        <f aca="false">(0.5*B133)+B134+B135+B136+(0.5*B137)/4</f>
        <v>6749165.625</v>
      </c>
      <c r="D133" s="10" t="n">
        <f aca="false">B133-C133</f>
        <v>-4944469.625</v>
      </c>
      <c r="E133" s="10" t="n">
        <v>-3234788.54375</v>
      </c>
      <c r="F133" s="10" t="n">
        <f aca="false">B133-E133</f>
        <v>5039484.54375</v>
      </c>
      <c r="G133" s="10" t="n">
        <f aca="false">AVERAGE(F132:F134)</f>
        <v>5661509.54375</v>
      </c>
      <c r="H133" s="10" t="n">
        <f aca="false">E133-G133</f>
        <v>-8896298.0875</v>
      </c>
      <c r="I133" s="12" t="n">
        <f aca="false">B133-H133</f>
        <v>10700994.0875</v>
      </c>
      <c r="J133" s="11" t="n">
        <f aca="false">STANDARDIZE(I133,$I$140,$I$144)</f>
        <v>-0.975214033184845</v>
      </c>
    </row>
    <row r="134" customFormat="false" ht="15" hidden="false" customHeight="false" outlineLevel="0" collapsed="false">
      <c r="A134" s="10" t="s">
        <v>29</v>
      </c>
      <c r="B134" s="10" t="n">
        <v>1824334.3</v>
      </c>
      <c r="C134" s="11"/>
      <c r="D134" s="10" t="n">
        <f aca="false">B134-C134</f>
        <v>1824334.3</v>
      </c>
      <c r="E134" s="10" t="n">
        <v>-4600010.771875</v>
      </c>
      <c r="F134" s="10" t="n">
        <f aca="false">B134-E134</f>
        <v>6424345.071875</v>
      </c>
      <c r="G134" s="10" t="n">
        <f aca="false">AVERAGE(F133:F135)</f>
        <v>5823393.07083333</v>
      </c>
      <c r="H134" s="10" t="n">
        <f aca="false">E134-G134</f>
        <v>-10423403.8427083</v>
      </c>
      <c r="I134" s="12" t="n">
        <f aca="false">B134-H134</f>
        <v>12247738.1427083</v>
      </c>
      <c r="J134" s="11" t="n">
        <f aca="false">STANDARDIZE(I134,$I$140,$I$144)</f>
        <v>1.37227296787359</v>
      </c>
    </row>
    <row r="135" customFormat="false" ht="13.5" hidden="false" customHeight="true" outlineLevel="0" collapsed="false">
      <c r="A135" s="10" t="s">
        <v>30</v>
      </c>
      <c r="B135" s="10" t="n">
        <v>1865708.4</v>
      </c>
      <c r="C135" s="11"/>
      <c r="D135" s="10" t="n">
        <f aca="false">B135-C135</f>
        <v>1865708.4</v>
      </c>
      <c r="E135" s="10" t="n">
        <v>-4140641.196875</v>
      </c>
      <c r="F135" s="10" t="n">
        <f aca="false">B135-E135</f>
        <v>6006349.596875</v>
      </c>
      <c r="G135" s="10" t="n">
        <f aca="false">AVERAGE(F134:F136)</f>
        <v>6017392.16145833</v>
      </c>
      <c r="H135" s="10" t="n">
        <f aca="false">E135-G135</f>
        <v>-10158033.3583333</v>
      </c>
      <c r="I135" s="12" t="n">
        <f aca="false">B135-H135</f>
        <v>12023741.7583333</v>
      </c>
      <c r="J135" s="11" t="n">
        <f aca="false">STANDARDIZE(I135,$I$140,$I$144)</f>
        <v>1.03231458960552</v>
      </c>
      <c r="L135" s="35" t="s">
        <v>77</v>
      </c>
      <c r="M135" s="35" t="s">
        <v>78</v>
      </c>
      <c r="N135" s="35" t="s">
        <v>79</v>
      </c>
    </row>
    <row r="136" customFormat="false" ht="15" hidden="false" customHeight="false" outlineLevel="0" collapsed="false">
      <c r="A136" s="10" t="s">
        <v>31</v>
      </c>
      <c r="B136" s="10" t="n">
        <v>1891869.7</v>
      </c>
      <c r="C136" s="11"/>
      <c r="D136" s="10" t="n">
        <f aca="false">B136-C136</f>
        <v>1891869.7</v>
      </c>
      <c r="E136" s="10" t="n">
        <v>-3729612.115625</v>
      </c>
      <c r="F136" s="10" t="n">
        <f aca="false">B136-E136</f>
        <v>5621481.815625</v>
      </c>
      <c r="G136" s="10" t="n">
        <f aca="false">AVERAGE(F135:F137)</f>
        <v>5660620.58541667</v>
      </c>
      <c r="H136" s="10" t="n">
        <f aca="false">E136-G136</f>
        <v>-9390232.70104167</v>
      </c>
      <c r="I136" s="12" t="n">
        <f aca="false">B136-H136</f>
        <v>11282102.4010417</v>
      </c>
      <c r="J136" s="11" t="n">
        <f aca="false">STANDARDIZE(I136,$I$140,$I$144)</f>
        <v>-0.0932683695486531</v>
      </c>
      <c r="L136" s="36" t="s">
        <v>80</v>
      </c>
      <c r="M136" s="11" t="n">
        <v>-1.5</v>
      </c>
      <c r="N136" s="11" t="n">
        <f aca="false">COUNTIF(J122:J137,"&lt;"&amp;M136)</f>
        <v>1</v>
      </c>
    </row>
    <row r="137" customFormat="false" ht="15" hidden="false" customHeight="false" outlineLevel="0" collapsed="false">
      <c r="A137" s="10" t="s">
        <v>32</v>
      </c>
      <c r="B137" s="10" t="n">
        <v>2119241.8</v>
      </c>
      <c r="C137" s="11"/>
      <c r="D137" s="10" t="n">
        <f aca="false">B137-C137</f>
        <v>2119241.8</v>
      </c>
      <c r="E137" s="10" t="n">
        <v>-3234788.54375</v>
      </c>
      <c r="F137" s="10" t="n">
        <f aca="false">B137-E137</f>
        <v>5354030.34375</v>
      </c>
      <c r="G137" s="10" t="n">
        <f aca="false">AVERAGE(F136:F137)</f>
        <v>5487756.0796875</v>
      </c>
      <c r="H137" s="10" t="n">
        <f aca="false">E137-G137</f>
        <v>-8722544.6234375</v>
      </c>
      <c r="I137" s="12" t="n">
        <f aca="false">B137-H137</f>
        <v>10841786.4234375</v>
      </c>
      <c r="J137" s="11" t="n">
        <f aca="false">STANDARDIZE(I137,$I$140,$I$144)</f>
        <v>-0.761534092182963</v>
      </c>
      <c r="L137" s="11" t="n">
        <f aca="false">M136</f>
        <v>-1.5</v>
      </c>
      <c r="M137" s="11" t="n">
        <f aca="false">M136+0.5</f>
        <v>-1</v>
      </c>
      <c r="N137" s="11" t="n">
        <f aca="false">COUNTIF($J$122:$J$137,"&gt;="&amp;M137)-COUNTIF($J$122:$J$137,"&gt;"&amp;M138)</f>
        <v>3</v>
      </c>
    </row>
    <row r="138" customFormat="false" ht="15" hidden="false" customHeight="false" outlineLevel="0" collapsed="false">
      <c r="A138" s="9"/>
      <c r="B138" s="9"/>
      <c r="E138" s="9"/>
      <c r="G138" s="9"/>
      <c r="L138" s="11" t="n">
        <f aca="false">M137</f>
        <v>-1</v>
      </c>
      <c r="M138" s="11" t="n">
        <f aca="false">M137+0.5</f>
        <v>-0.5</v>
      </c>
      <c r="N138" s="11" t="n">
        <f aca="false">COUNTIF($J$122:$J$137,"&gt;="&amp;M138)-COUNTIF($J$122:$J$137,"&gt;"&amp;M139)</f>
        <v>2</v>
      </c>
    </row>
    <row r="139" customFormat="false" ht="16.4" hidden="false" customHeight="false" outlineLevel="0" collapsed="false">
      <c r="A139" s="9"/>
      <c r="B139" s="9"/>
      <c r="E139" s="9"/>
      <c r="G139" s="9"/>
      <c r="I139" s="25" t="s">
        <v>47</v>
      </c>
      <c r="J139" s="37" t="s">
        <v>48</v>
      </c>
      <c r="L139" s="11" t="n">
        <f aca="false">M138</f>
        <v>-0.5</v>
      </c>
      <c r="M139" s="11" t="n">
        <f aca="false">M138+0.5</f>
        <v>0</v>
      </c>
      <c r="N139" s="11" t="n">
        <f aca="false">COUNTIF($J$122:$J$137,"&gt;="&amp;M139)-COUNTIF($J$122:$J$137,"&gt;"&amp;M140)</f>
        <v>2</v>
      </c>
    </row>
    <row r="140" customFormat="false" ht="15" hidden="false" customHeight="false" outlineLevel="0" collapsed="false">
      <c r="A140" s="9"/>
      <c r="B140" s="9"/>
      <c r="E140" s="9"/>
      <c r="G140" s="9"/>
      <c r="H140" s="39" t="s">
        <v>81</v>
      </c>
      <c r="I140" s="48" t="n">
        <f aca="false">AVERAGE(I122:I137)</f>
        <v>11343556.3286133</v>
      </c>
      <c r="J140" s="48" t="n">
        <f aca="false">AVERAGE(J122:J137)</f>
        <v>-1.73472347597681E-016</v>
      </c>
      <c r="L140" s="11" t="n">
        <f aca="false">M139</f>
        <v>0</v>
      </c>
      <c r="M140" s="11" t="n">
        <f aca="false">M139+0.5</f>
        <v>0.5</v>
      </c>
      <c r="N140" s="11" t="n">
        <f aca="false">COUNTIF($J$122:$J$137,"&gt;="&amp;M140)-COUNTIF($J$122:$J$137,"&gt;"&amp;M141)</f>
        <v>2</v>
      </c>
    </row>
    <row r="141" customFormat="false" ht="15" hidden="false" customHeight="false" outlineLevel="0" collapsed="false">
      <c r="A141" s="9"/>
      <c r="B141" s="9"/>
      <c r="E141" s="9"/>
      <c r="G141" s="9"/>
      <c r="H141" s="35" t="s">
        <v>82</v>
      </c>
      <c r="I141" s="10" t="n">
        <f aca="false">VAR(I122:I137)</f>
        <v>434140716688.424</v>
      </c>
      <c r="J141" s="10" t="n">
        <f aca="false">VAR(J122:J137)</f>
        <v>1</v>
      </c>
      <c r="L141" s="11" t="n">
        <f aca="false">M140</f>
        <v>0.5</v>
      </c>
      <c r="M141" s="11" t="n">
        <f aca="false">M140+0.5</f>
        <v>1</v>
      </c>
      <c r="N141" s="11" t="n">
        <f aca="false">COUNTIF($J$122:$J$137,"&gt;="&amp;M141)-COUNTIF($J$122:$J$137,"&gt;"&amp;M142)</f>
        <v>4</v>
      </c>
    </row>
    <row r="142" customFormat="false" ht="15" hidden="false" customHeight="false" outlineLevel="0" collapsed="false">
      <c r="A142" s="9"/>
      <c r="B142" s="9"/>
      <c r="E142" s="9"/>
      <c r="G142" s="9"/>
      <c r="H142" s="35" t="s">
        <v>83</v>
      </c>
      <c r="I142" s="10"/>
      <c r="J142" s="10" t="n">
        <f aca="false">MIN(J122:J137)</f>
        <v>-1.53544114511873</v>
      </c>
      <c r="L142" s="11" t="n">
        <f aca="false">M141</f>
        <v>1</v>
      </c>
      <c r="M142" s="11" t="n">
        <f aca="false">M141+0.5</f>
        <v>1.5</v>
      </c>
      <c r="N142" s="11" t="n">
        <f aca="false">COUNTIF($J$122:$J$137,"&gt;="&amp;M142)-COUNTIF($J$122:$J$137,"&gt;"&amp;M143)</f>
        <v>0</v>
      </c>
    </row>
    <row r="143" customFormat="false" ht="15" hidden="false" customHeight="false" outlineLevel="0" collapsed="false">
      <c r="H143" s="35" t="s">
        <v>85</v>
      </c>
      <c r="I143" s="11"/>
      <c r="J143" s="11" t="n">
        <f aca="false">MAX(J122:J137)</f>
        <v>1.37227296787359</v>
      </c>
      <c r="L143" s="11" t="n">
        <f aca="false">M142</f>
        <v>1.5</v>
      </c>
      <c r="M143" s="36" t="s">
        <v>84</v>
      </c>
      <c r="N143" s="11" t="n">
        <f aca="false">COUNTIF($J$122:$J$137,"&gt;="&amp;M143)-COUNTIF($J$122:$J$137,"&gt;"&amp;M144)</f>
        <v>0</v>
      </c>
    </row>
    <row r="144" customFormat="false" ht="15" hidden="false" customHeight="false" outlineLevel="0" collapsed="false">
      <c r="C144" s="23"/>
      <c r="H144" s="35" t="s">
        <v>86</v>
      </c>
      <c r="I144" s="11" t="n">
        <f aca="false">SQRT(I141)</f>
        <v>658893.554899745</v>
      </c>
      <c r="J144" s="11"/>
      <c r="K144" s="23"/>
      <c r="L144" s="23"/>
    </row>
    <row r="145" customFormat="false" ht="15" hidden="false" customHeight="false" outlineLevel="0" collapsed="false">
      <c r="C145" s="23"/>
      <c r="H145" s="43"/>
      <c r="K145" s="23"/>
      <c r="L145" s="23"/>
    </row>
    <row r="146" customFormat="false" ht="15" hidden="false" customHeight="false" outlineLevel="0" collapsed="false">
      <c r="C146" s="23"/>
      <c r="H146" s="43"/>
      <c r="K146" s="23"/>
      <c r="L146" s="23"/>
    </row>
    <row r="147" customFormat="false" ht="15" hidden="false" customHeight="false" outlineLevel="0" collapsed="false">
      <c r="C147" s="23"/>
      <c r="H147" s="43"/>
      <c r="K147" s="23"/>
      <c r="L147" s="23"/>
    </row>
    <row r="148" customFormat="false" ht="15" hidden="false" customHeight="false" outlineLevel="0" collapsed="false">
      <c r="A148" s="23"/>
      <c r="B148" s="43" t="s">
        <v>12</v>
      </c>
      <c r="C148" s="43"/>
    </row>
    <row r="149" customFormat="false" ht="16.4" hidden="false" customHeight="false" outlineLevel="0" collapsed="false">
      <c r="A149" s="44" t="s">
        <v>39</v>
      </c>
      <c r="B149" s="45" t="s">
        <v>87</v>
      </c>
      <c r="C149" s="45" t="s">
        <v>88</v>
      </c>
      <c r="D149" s="45" t="s">
        <v>89</v>
      </c>
      <c r="E149" s="45" t="s">
        <v>90</v>
      </c>
      <c r="F149" s="45" t="s">
        <v>91</v>
      </c>
      <c r="G149" s="45" t="s">
        <v>92</v>
      </c>
      <c r="H149" s="45" t="s">
        <v>93</v>
      </c>
      <c r="I149" s="46" t="s">
        <v>94</v>
      </c>
      <c r="J149" s="29" t="s">
        <v>48</v>
      </c>
      <c r="L149" s="47" t="s">
        <v>97</v>
      </c>
      <c r="M149" s="49" t="n">
        <v>2007</v>
      </c>
      <c r="N149" s="11" t="n">
        <v>2008</v>
      </c>
      <c r="O149" s="11" t="n">
        <v>2009</v>
      </c>
      <c r="P149" s="11" t="n">
        <v>2010</v>
      </c>
      <c r="Q149" s="36" t="s">
        <v>96</v>
      </c>
    </row>
    <row r="150" customFormat="false" ht="15" hidden="false" customHeight="false" outlineLevel="0" collapsed="false">
      <c r="A150" s="10" t="s">
        <v>16</v>
      </c>
      <c r="B150" s="10" t="n">
        <v>398734</v>
      </c>
      <c r="C150" s="11" t="n">
        <f aca="false">(0.5*B150)+B151+B152+B153+(0.5*B154)/4</f>
        <v>1422874.75</v>
      </c>
      <c r="D150" s="10" t="n">
        <f aca="false">B150-C150</f>
        <v>-1024140.75</v>
      </c>
      <c r="E150" s="10" t="n">
        <v>-748059.21875</v>
      </c>
      <c r="F150" s="10" t="n">
        <f aca="false">B150-E150</f>
        <v>1146793.21875</v>
      </c>
      <c r="G150" s="10" t="n">
        <f aca="false">AVERAGE(F150:F151)</f>
        <v>1160060.21875</v>
      </c>
      <c r="H150" s="10" t="n">
        <f aca="false">E150+G150</f>
        <v>412001</v>
      </c>
      <c r="I150" s="12" t="n">
        <f aca="false">B150-H150</f>
        <v>-13267</v>
      </c>
      <c r="J150" s="11" t="n">
        <f aca="false">STANDARDIZE(I150,$I$168,$I$172)</f>
        <v>-0.477232776416809</v>
      </c>
      <c r="L150" s="11" t="s">
        <v>52</v>
      </c>
      <c r="M150" s="10" t="n">
        <v>-1024140.75</v>
      </c>
      <c r="N150" s="11" t="n">
        <v>-1104059.75</v>
      </c>
      <c r="O150" s="10" t="n">
        <v>-1450887.375</v>
      </c>
      <c r="P150" s="10" t="n">
        <v>586851</v>
      </c>
      <c r="Q150" s="10" t="n">
        <f aca="false">AVERAGE(M150:P150)</f>
        <v>-748059.21875</v>
      </c>
    </row>
    <row r="151" customFormat="false" ht="15" hidden="false" customHeight="false" outlineLevel="0" collapsed="false">
      <c r="A151" s="10" t="s">
        <v>17</v>
      </c>
      <c r="B151" s="10" t="n">
        <v>400012</v>
      </c>
      <c r="C151" s="11" t="n">
        <f aca="false">(0.5*B151)+B152+B153+B154+(0.5*B155)/4</f>
        <v>1405067.75</v>
      </c>
      <c r="D151" s="10" t="n">
        <f aca="false">B151-C151</f>
        <v>-1005055.75</v>
      </c>
      <c r="E151" s="10" t="n">
        <v>-773315.21875</v>
      </c>
      <c r="F151" s="10" t="n">
        <f aca="false">B151-E151</f>
        <v>1173327.21875</v>
      </c>
      <c r="G151" s="10" t="n">
        <f aca="false">AVERAGE(F150:F152)</f>
        <v>1175168.78125</v>
      </c>
      <c r="H151" s="10" t="n">
        <f aca="false">E151+G151</f>
        <v>401853.5625</v>
      </c>
      <c r="I151" s="12" t="n">
        <f aca="false">B151-H151</f>
        <v>-1841.5625</v>
      </c>
      <c r="J151" s="11" t="n">
        <f aca="false">STANDARDIZE(I151,$I$168,$I$172)</f>
        <v>-0.0758889655056978</v>
      </c>
      <c r="L151" s="11" t="s">
        <v>58</v>
      </c>
      <c r="M151" s="10" t="n">
        <v>-1005055.75</v>
      </c>
      <c r="N151" s="10" t="n">
        <v>-1186630.625</v>
      </c>
      <c r="O151" s="11" t="n">
        <v>-1510606.5</v>
      </c>
      <c r="P151" s="10" t="n">
        <v>609032</v>
      </c>
      <c r="Q151" s="10" t="n">
        <f aca="false">AVERAGE(M151:P151)</f>
        <v>-773315.21875</v>
      </c>
      <c r="ER151" s="11"/>
      <c r="ES151" s="36"/>
    </row>
    <row r="152" customFormat="false" ht="15" hidden="false" customHeight="false" outlineLevel="0" collapsed="false">
      <c r="A152" s="10" t="s">
        <v>18</v>
      </c>
      <c r="B152" s="10" t="n">
        <v>391300</v>
      </c>
      <c r="C152" s="11" t="n">
        <f aca="false">(0.5*B152)+B153+B154+B155+(0.5*B156)/4</f>
        <v>1401685.25</v>
      </c>
      <c r="D152" s="10" t="n">
        <f aca="false">B152-C152</f>
        <v>-1010385.25</v>
      </c>
      <c r="E152" s="10" t="n">
        <v>-814085.90625</v>
      </c>
      <c r="F152" s="10" t="n">
        <f aca="false">B152-E152</f>
        <v>1205385.90625</v>
      </c>
      <c r="G152" s="10" t="n">
        <f aca="false">AVERAGE(F151:F153)</f>
        <v>1201997.26041667</v>
      </c>
      <c r="H152" s="10" t="n">
        <f aca="false">E152+G152</f>
        <v>387911.354166667</v>
      </c>
      <c r="I152" s="12" t="n">
        <f aca="false">B152-H152</f>
        <v>3388.64583333326</v>
      </c>
      <c r="J152" s="11" t="n">
        <f aca="false">STANDARDIZE(I152,$I$168,$I$172)</f>
        <v>0.107833692323293</v>
      </c>
      <c r="L152" s="11" t="s">
        <v>64</v>
      </c>
      <c r="M152" s="10" t="n">
        <v>-1010385.25</v>
      </c>
      <c r="N152" s="11" t="n">
        <v>-1290352.75</v>
      </c>
      <c r="O152" s="10" t="n">
        <v>-1576146.625</v>
      </c>
      <c r="P152" s="10" t="n">
        <v>620541</v>
      </c>
      <c r="Q152" s="10" t="n">
        <f aca="false">AVERAGE(M152:P152)</f>
        <v>-814085.90625</v>
      </c>
      <c r="ER152" s="10"/>
      <c r="ES152" s="10"/>
    </row>
    <row r="153" customFormat="false" ht="15" hidden="false" customHeight="false" outlineLevel="0" collapsed="false">
      <c r="A153" s="10" t="s">
        <v>19</v>
      </c>
      <c r="B153" s="10" t="n">
        <v>384662</v>
      </c>
      <c r="C153" s="10" t="n">
        <f aca="false">(0.5*B153)+B154+B155+B156+(0.5*B157)/4</f>
        <v>1422038.625</v>
      </c>
      <c r="D153" s="10" t="n">
        <f aca="false">B153-C153</f>
        <v>-1037376.625</v>
      </c>
      <c r="E153" s="10" t="n">
        <v>-842616.65625</v>
      </c>
      <c r="F153" s="10" t="n">
        <f aca="false">B153-E153</f>
        <v>1227278.65625</v>
      </c>
      <c r="G153" s="10" t="n">
        <f aca="false">AVERAGE(F152:F154)</f>
        <v>1186997.92708333</v>
      </c>
      <c r="H153" s="10" t="n">
        <f aca="false">E153+G153</f>
        <v>344381.270833333</v>
      </c>
      <c r="I153" s="12" t="n">
        <f aca="false">B153-H153</f>
        <v>40280.7291666667</v>
      </c>
      <c r="J153" s="11" t="n">
        <f aca="false">STANDARDIZE(I153,$I$168,$I$172)</f>
        <v>1.40374987211513</v>
      </c>
      <c r="L153" s="11" t="s">
        <v>70</v>
      </c>
      <c r="M153" s="10" t="n">
        <v>-1037376.625</v>
      </c>
      <c r="N153" s="10" t="n">
        <v>-1369442.375</v>
      </c>
      <c r="O153" s="10" t="n">
        <v>-1612800.625</v>
      </c>
      <c r="P153" s="10" t="n">
        <v>649153</v>
      </c>
      <c r="Q153" s="10" t="n">
        <f aca="false">AVERAGE(M153:P153)</f>
        <v>-842616.65625</v>
      </c>
      <c r="ER153" s="10"/>
      <c r="ES153" s="10"/>
    </row>
    <row r="154" customFormat="false" ht="15" hidden="false" customHeight="false" outlineLevel="0" collapsed="false">
      <c r="A154" s="10" t="s">
        <v>20</v>
      </c>
      <c r="B154" s="10" t="n">
        <v>380270</v>
      </c>
      <c r="C154" s="11" t="n">
        <f aca="false">(0.5*B154)+B155+B156+B157+(0.5*B158)/4</f>
        <v>1484329.75</v>
      </c>
      <c r="D154" s="10" t="n">
        <f aca="false">B154-C154</f>
        <v>-1104059.75</v>
      </c>
      <c r="E154" s="10" t="n">
        <v>-748059.21875</v>
      </c>
      <c r="F154" s="10" t="n">
        <f aca="false">B154-E154</f>
        <v>1128329.21875</v>
      </c>
      <c r="G154" s="10" t="n">
        <f aca="false">AVERAGE(F153:F155)</f>
        <v>1173187.03125</v>
      </c>
      <c r="H154" s="10" t="n">
        <f aca="false">E154+G154</f>
        <v>425127.8125</v>
      </c>
      <c r="I154" s="12" t="n">
        <f aca="false">B154-H154</f>
        <v>-44857.8125</v>
      </c>
      <c r="J154" s="11" t="n">
        <f aca="false">STANDARDIZE(I154,$I$168,$I$172)</f>
        <v>-1.58693007059293</v>
      </c>
      <c r="ER154" s="10"/>
      <c r="ES154" s="10"/>
    </row>
    <row r="155" customFormat="false" ht="15" hidden="false" customHeight="false" outlineLevel="0" collapsed="false">
      <c r="A155" s="10" t="s">
        <v>21</v>
      </c>
      <c r="B155" s="10" t="n">
        <v>390638</v>
      </c>
      <c r="C155" s="10" t="n">
        <f aca="false">(0.5*B155)+B156+B157+B158+(0.5*B159)/4</f>
        <v>1577268.625</v>
      </c>
      <c r="D155" s="10" t="n">
        <f aca="false">B155-C155</f>
        <v>-1186630.625</v>
      </c>
      <c r="E155" s="10" t="n">
        <v>-773315.21875</v>
      </c>
      <c r="F155" s="10" t="n">
        <f aca="false">B155-E155</f>
        <v>1163953.21875</v>
      </c>
      <c r="G155" s="10" t="n">
        <f aca="false">AVERAGE(F154:F156)</f>
        <v>1170030.11458333</v>
      </c>
      <c r="H155" s="10" t="n">
        <f aca="false">E155+G155</f>
        <v>396714.895833333</v>
      </c>
      <c r="I155" s="12" t="n">
        <f aca="false">B155-H155</f>
        <v>-6076.89583333326</v>
      </c>
      <c r="J155" s="11" t="n">
        <f aca="false">STANDARDIZE(I155,$I$168,$I$172)</f>
        <v>-0.224664434320684</v>
      </c>
      <c r="ER155" s="10"/>
      <c r="ES155" s="10"/>
    </row>
    <row r="156" customFormat="false" ht="15" hidden="false" customHeight="false" outlineLevel="0" collapsed="false">
      <c r="A156" s="10" t="s">
        <v>22</v>
      </c>
      <c r="B156" s="10" t="n">
        <v>403722</v>
      </c>
      <c r="C156" s="11" t="n">
        <f aca="false">(0.5*B156)+B157+B158+B159+(0.5*B160)/4</f>
        <v>1694074.75</v>
      </c>
      <c r="D156" s="10" t="n">
        <f aca="false">B156-C156</f>
        <v>-1290352.75</v>
      </c>
      <c r="E156" s="10" t="n">
        <v>-814085.90625</v>
      </c>
      <c r="F156" s="10" t="n">
        <f aca="false">B156-E156</f>
        <v>1217807.90625</v>
      </c>
      <c r="G156" s="10" t="n">
        <f aca="false">AVERAGE(F155:F157)</f>
        <v>1221666.26041667</v>
      </c>
      <c r="H156" s="10" t="n">
        <f aca="false">E156+G156</f>
        <v>407580.354166667</v>
      </c>
      <c r="I156" s="12" t="n">
        <f aca="false">B156-H156</f>
        <v>-3858.35416666674</v>
      </c>
      <c r="J156" s="11" t="n">
        <f aca="false">STANDARDIZE(I156,$I$168,$I$172)</f>
        <v>-0.1467332419996</v>
      </c>
    </row>
    <row r="157" customFormat="false" ht="15" hidden="false" customHeight="true" outlineLevel="0" collapsed="false">
      <c r="A157" s="10" t="s">
        <v>23</v>
      </c>
      <c r="B157" s="10" t="n">
        <v>440621</v>
      </c>
      <c r="C157" s="10" t="n">
        <f aca="false">(0.5*B157)+B158+B159+B160+(0.5*B161)/4</f>
        <v>1810063.375</v>
      </c>
      <c r="D157" s="10" t="n">
        <f aca="false">B157-C157</f>
        <v>-1369442.375</v>
      </c>
      <c r="E157" s="10" t="n">
        <v>-842616.65625</v>
      </c>
      <c r="F157" s="10" t="n">
        <f aca="false">B157-E157</f>
        <v>1283237.65625</v>
      </c>
      <c r="G157" s="10" t="n">
        <f aca="false">AVERAGE(F156:F158)</f>
        <v>1240938.26041667</v>
      </c>
      <c r="H157" s="10" t="n">
        <f aca="false">E157+G157</f>
        <v>398321.604166667</v>
      </c>
      <c r="I157" s="12" t="n">
        <f aca="false">B157-H157</f>
        <v>42299.3958333333</v>
      </c>
      <c r="J157" s="11" t="n">
        <f aca="false">STANDARDIZE(I157,$I$168,$I$172)</f>
        <v>1.47466001213901</v>
      </c>
      <c r="L157" s="33" t="s">
        <v>75</v>
      </c>
      <c r="M157" s="9" t="n">
        <f aca="false">_xlfn.STDEV.P(D20:D35)</f>
        <v>94652.967730151</v>
      </c>
    </row>
    <row r="158" customFormat="false" ht="15" hidden="false" customHeight="false" outlineLevel="0" collapsed="false">
      <c r="A158" s="10" t="s">
        <v>25</v>
      </c>
      <c r="B158" s="10" t="n">
        <v>473710</v>
      </c>
      <c r="C158" s="10" t="n">
        <f aca="false">(0.5*B158)+B159+B160+B161+(0.5*B162)/4</f>
        <v>1924597.375</v>
      </c>
      <c r="D158" s="10" t="n">
        <f aca="false">B158-C158</f>
        <v>-1450887.375</v>
      </c>
      <c r="E158" s="10" t="n">
        <v>-748059.21875</v>
      </c>
      <c r="F158" s="10" t="n">
        <f aca="false">B158-E158</f>
        <v>1221769.21875</v>
      </c>
      <c r="G158" s="10" t="n">
        <f aca="false">AVERAGE(F157:F159)</f>
        <v>1263165.03125</v>
      </c>
      <c r="H158" s="10" t="n">
        <f aca="false">E158+G158</f>
        <v>515105.8125</v>
      </c>
      <c r="I158" s="12" t="n">
        <f aca="false">B158-H158</f>
        <v>-41395.8125</v>
      </c>
      <c r="J158" s="11" t="n">
        <f aca="false">STANDARDIZE(I158,$I$168,$I$172)</f>
        <v>-1.46531964881483</v>
      </c>
      <c r="L158" s="23"/>
    </row>
    <row r="159" customFormat="false" ht="15" hidden="false" customHeight="false" outlineLevel="0" collapsed="false">
      <c r="A159" s="10" t="s">
        <v>26</v>
      </c>
      <c r="B159" s="10" t="n">
        <v>511173</v>
      </c>
      <c r="C159" s="11" t="n">
        <f aca="false">(0.5*B159)+B160+B161+B162+(0.5*B163)/4</f>
        <v>2021779.5</v>
      </c>
      <c r="D159" s="10" t="n">
        <f aca="false">B159-C159</f>
        <v>-1510606.5</v>
      </c>
      <c r="E159" s="10" t="n">
        <v>-773315.21875</v>
      </c>
      <c r="F159" s="10" t="n">
        <f aca="false">B159-E159</f>
        <v>1284488.21875</v>
      </c>
      <c r="G159" s="10" t="n">
        <f aca="false">AVERAGE(F158:F160)</f>
        <v>1284673.78125</v>
      </c>
      <c r="H159" s="10" t="n">
        <f aca="false">E159+G159</f>
        <v>511358.5625</v>
      </c>
      <c r="I159" s="12" t="n">
        <f aca="false">B159-H159</f>
        <v>-185.5625</v>
      </c>
      <c r="J159" s="11" t="n">
        <f aca="false">STANDARDIZE(I159,$I$168,$I$172)</f>
        <v>-0.017718295816349</v>
      </c>
      <c r="L159" s="23"/>
    </row>
    <row r="160" customFormat="false" ht="16.4" hidden="false" customHeight="false" outlineLevel="0" collapsed="false">
      <c r="A160" s="10" t="s">
        <v>27</v>
      </c>
      <c r="B160" s="10" t="n">
        <v>533678</v>
      </c>
      <c r="C160" s="10" t="n">
        <f aca="false">(0.5*B160)+B161+B162+B163+(0.5*B164)/4</f>
        <v>2109824.625</v>
      </c>
      <c r="D160" s="10" t="n">
        <f aca="false">B160-C160</f>
        <v>-1576146.625</v>
      </c>
      <c r="E160" s="10" t="n">
        <v>-814085.90625</v>
      </c>
      <c r="F160" s="10" t="n">
        <f aca="false">B160-E160</f>
        <v>1347763.90625</v>
      </c>
      <c r="G160" s="10" t="n">
        <f aca="false">AVERAGE(F159:F161)</f>
        <v>1348134.59375</v>
      </c>
      <c r="H160" s="10" t="n">
        <f aca="false">E160+G160</f>
        <v>534048.6875</v>
      </c>
      <c r="I160" s="12" t="n">
        <f aca="false">B160-H160</f>
        <v>-370.6875</v>
      </c>
      <c r="J160" s="11" t="n">
        <f aca="false">STANDARDIZE(I160,$I$168,$I$172)</f>
        <v>-0.0242212216776054</v>
      </c>
      <c r="L160" s="33" t="s">
        <v>76</v>
      </c>
      <c r="M160" s="34" t="n">
        <f aca="false">(D35/D20)^(1/15)-1</f>
        <v>0.033025209381965</v>
      </c>
    </row>
    <row r="161" customFormat="false" ht="15" hidden="false" customHeight="false" outlineLevel="0" collapsed="false">
      <c r="A161" s="10" t="s">
        <v>28</v>
      </c>
      <c r="B161" s="10" t="n">
        <v>569535</v>
      </c>
      <c r="C161" s="10" t="n">
        <f aca="false">(0.5*B161)+B162+B163+B164+(0.5*B165)/4</f>
        <v>2182335.625</v>
      </c>
      <c r="D161" s="10" t="n">
        <f aca="false">B161-C161</f>
        <v>-1612800.625</v>
      </c>
      <c r="E161" s="10" t="n">
        <v>-842616.65625</v>
      </c>
      <c r="F161" s="10" t="n">
        <f aca="false">B161-E161</f>
        <v>1412151.65625</v>
      </c>
      <c r="G161" s="10" t="n">
        <f aca="false">AVERAGE(F160:F162)</f>
        <v>1364941.92708333</v>
      </c>
      <c r="H161" s="10" t="n">
        <f aca="false">E161+G161</f>
        <v>522325.270833333</v>
      </c>
      <c r="I161" s="12" t="n">
        <f aca="false">B161-H161</f>
        <v>47209.7291666667</v>
      </c>
      <c r="J161" s="11" t="n">
        <f aca="false">STANDARDIZE(I161,$I$168,$I$172)</f>
        <v>1.6471463517513</v>
      </c>
    </row>
    <row r="162" customFormat="false" ht="16.4" hidden="false" customHeight="false" outlineLevel="0" collapsed="false">
      <c r="A162" s="10" t="s">
        <v>29</v>
      </c>
      <c r="B162" s="10" t="n">
        <v>586851</v>
      </c>
      <c r="C162" s="11"/>
      <c r="D162" s="10" t="n">
        <f aca="false">B162-C162</f>
        <v>586851</v>
      </c>
      <c r="E162" s="10" t="n">
        <v>-748059.21875</v>
      </c>
      <c r="F162" s="10" t="n">
        <f aca="false">B162-E162</f>
        <v>1334910.21875</v>
      </c>
      <c r="G162" s="10" t="n">
        <f aca="false">AVERAGE(F161:F163)</f>
        <v>1376469.69791667</v>
      </c>
      <c r="H162" s="10" t="n">
        <f aca="false">E162+G162</f>
        <v>628410.479166667</v>
      </c>
      <c r="I162" s="12" t="n">
        <f aca="false">B162-H162</f>
        <v>-41559.4791666667</v>
      </c>
      <c r="J162" s="11" t="n">
        <f aca="false">STANDARDIZE(I162,$I$168,$I$172)</f>
        <v>-1.47106880316618</v>
      </c>
      <c r="L162" s="35" t="s">
        <v>77</v>
      </c>
      <c r="M162" s="35" t="s">
        <v>78</v>
      </c>
      <c r="N162" s="35" t="s">
        <v>79</v>
      </c>
    </row>
    <row r="163" customFormat="false" ht="15" hidden="false" customHeight="false" outlineLevel="0" collapsed="false">
      <c r="A163" s="10" t="s">
        <v>30</v>
      </c>
      <c r="B163" s="10" t="n">
        <v>609032</v>
      </c>
      <c r="C163" s="11"/>
      <c r="D163" s="10" t="n">
        <f aca="false">B163-C163</f>
        <v>609032</v>
      </c>
      <c r="E163" s="10" t="n">
        <v>-773315.21875</v>
      </c>
      <c r="F163" s="10" t="n">
        <f aca="false">B163-E163</f>
        <v>1382347.21875</v>
      </c>
      <c r="G163" s="10" t="n">
        <f aca="false">AVERAGE(F162:F164)</f>
        <v>1383961.44791667</v>
      </c>
      <c r="H163" s="10" t="n">
        <f aca="false">E163+G163</f>
        <v>610646.229166667</v>
      </c>
      <c r="I163" s="12" t="n">
        <f aca="false">B163-H163</f>
        <v>-1614.22916666674</v>
      </c>
      <c r="J163" s="11" t="n">
        <f aca="false">STANDARDIZE(I163,$I$168,$I$172)</f>
        <v>-0.0679033784026136</v>
      </c>
      <c r="L163" s="36" t="s">
        <v>80</v>
      </c>
      <c r="M163" s="11" t="n">
        <v>-1.5</v>
      </c>
      <c r="N163" s="11" t="n">
        <f aca="false">COUNTIF(J150:J165,"&lt;"&amp;M163)</f>
        <v>1</v>
      </c>
    </row>
    <row r="164" customFormat="false" ht="15" hidden="false" customHeight="false" outlineLevel="0" collapsed="false">
      <c r="A164" s="10" t="s">
        <v>31</v>
      </c>
      <c r="B164" s="10" t="n">
        <v>620541</v>
      </c>
      <c r="C164" s="11"/>
      <c r="D164" s="10" t="n">
        <f aca="false">B164-C164</f>
        <v>620541</v>
      </c>
      <c r="E164" s="10" t="n">
        <v>-814085.90625</v>
      </c>
      <c r="F164" s="10" t="n">
        <f aca="false">B164-E164</f>
        <v>1434626.90625</v>
      </c>
      <c r="G164" s="10" t="n">
        <f aca="false">AVERAGE(F163:F165)</f>
        <v>1436247.92708333</v>
      </c>
      <c r="H164" s="10" t="n">
        <f aca="false">E164+G164</f>
        <v>622162.020833333</v>
      </c>
      <c r="I164" s="12" t="n">
        <f aca="false">B164-H164</f>
        <v>-1621.02083333326</v>
      </c>
      <c r="J164" s="11" t="n">
        <f aca="false">STANDARDIZE(I164,$I$168,$I$172)</f>
        <v>-0.0681419507445809</v>
      </c>
      <c r="L164" s="11" t="n">
        <f aca="false">M163</f>
        <v>-1.5</v>
      </c>
      <c r="M164" s="11" t="n">
        <f aca="false">M163+0.5</f>
        <v>-1</v>
      </c>
      <c r="N164" s="11" t="n">
        <f aca="false">COUNTIF($J$150:$J$165,"&gt;="&amp;M164)-COUNTIF($J$150:$J$165,"&gt;"&amp;M165)</f>
        <v>0</v>
      </c>
    </row>
    <row r="165" customFormat="false" ht="15" hidden="false" customHeight="false" outlineLevel="0" collapsed="false">
      <c r="A165" s="10" t="s">
        <v>32</v>
      </c>
      <c r="B165" s="10" t="n">
        <v>649153</v>
      </c>
      <c r="C165" s="11"/>
      <c r="D165" s="10" t="n">
        <f aca="false">B165-C165</f>
        <v>649153</v>
      </c>
      <c r="E165" s="10" t="n">
        <v>-842616.65625</v>
      </c>
      <c r="F165" s="10" t="n">
        <f aca="false">B165-E165</f>
        <v>1491769.65625</v>
      </c>
      <c r="G165" s="10" t="n">
        <f aca="false">AVERAGE(F164:F165)</f>
        <v>1463198.28125</v>
      </c>
      <c r="H165" s="10" t="n">
        <f aca="false">E165+G165</f>
        <v>620581.625</v>
      </c>
      <c r="I165" s="12" t="n">
        <f aca="false">B165-H165</f>
        <v>28571.375</v>
      </c>
      <c r="J165" s="11" t="n">
        <f aca="false">STANDARDIZE(I165,$I$168,$I$172)</f>
        <v>0.992432859129152</v>
      </c>
      <c r="L165" s="11" t="n">
        <f aca="false">M164</f>
        <v>-1</v>
      </c>
      <c r="M165" s="11" t="n">
        <f aca="false">M164+0.5</f>
        <v>-0.5</v>
      </c>
      <c r="N165" s="11" t="n">
        <f aca="false">COUNTIF($J$150:$J$165,"&gt;="&amp;M165)-COUNTIF($J$150:$J$165,"&gt;"&amp;M166)</f>
        <v>8</v>
      </c>
    </row>
    <row r="166" customFormat="false" ht="15" hidden="false" customHeight="false" outlineLevel="0" collapsed="false">
      <c r="K166" s="23"/>
      <c r="L166" s="11" t="n">
        <f aca="false">M165</f>
        <v>-0.5</v>
      </c>
      <c r="M166" s="11" t="n">
        <f aca="false">M165+0.5</f>
        <v>0</v>
      </c>
      <c r="N166" s="11" t="n">
        <f aca="false">COUNTIF($J$150:$J$165,"&gt;="&amp;M166)-COUNTIF($J$150:$J$165,"&gt;"&amp;M167)</f>
        <v>1</v>
      </c>
    </row>
    <row r="167" customFormat="false" ht="16.4" hidden="false" customHeight="false" outlineLevel="0" collapsed="false">
      <c r="I167" s="25" t="s">
        <v>47</v>
      </c>
      <c r="J167" s="37" t="s">
        <v>48</v>
      </c>
      <c r="K167" s="23"/>
      <c r="L167" s="11" t="n">
        <f aca="false">M166</f>
        <v>0</v>
      </c>
      <c r="M167" s="11" t="n">
        <f aca="false">M166+0.5</f>
        <v>0.5</v>
      </c>
      <c r="N167" s="11" t="n">
        <f aca="false">COUNTIF($J$150:$J$165,"&gt;="&amp;M167)-COUNTIF($J$150:$J$165,"&gt;"&amp;M168)</f>
        <v>1</v>
      </c>
    </row>
    <row r="168" customFormat="false" ht="15" hidden="false" customHeight="false" outlineLevel="0" collapsed="false">
      <c r="H168" s="38" t="s">
        <v>81</v>
      </c>
      <c r="I168" s="10" t="n">
        <f aca="false">AVERAGE(I150:I165)</f>
        <v>318.841145833329</v>
      </c>
      <c r="J168" s="11" t="n">
        <f aca="false">AVERAGE(J150:J165)</f>
        <v>0</v>
      </c>
      <c r="K168" s="23"/>
      <c r="L168" s="11" t="n">
        <f aca="false">M167</f>
        <v>0.5</v>
      </c>
      <c r="M168" s="11" t="n">
        <f aca="false">M167+0.5</f>
        <v>1</v>
      </c>
      <c r="N168" s="11" t="n">
        <f aca="false">COUNTIF($J$150:$J$165,"&gt;="&amp;M168)-COUNTIF($J$150:$J$165,"&gt;"&amp;M169)</f>
        <v>2</v>
      </c>
    </row>
    <row r="169" customFormat="false" ht="15" hidden="false" customHeight="false" outlineLevel="0" collapsed="false">
      <c r="H169" s="39" t="s">
        <v>82</v>
      </c>
      <c r="I169" s="50" t="n">
        <f aca="false">VAR(I150:I165)</f>
        <v>810424454.995132</v>
      </c>
      <c r="J169" s="51" t="n">
        <f aca="false">VAR(J150:J165)</f>
        <v>1</v>
      </c>
      <c r="K169" s="23"/>
      <c r="L169" s="11" t="n">
        <f aca="false">M168</f>
        <v>1</v>
      </c>
      <c r="M169" s="11" t="n">
        <f aca="false">M168+0.5</f>
        <v>1.5</v>
      </c>
      <c r="N169" s="11" t="n">
        <f aca="false">COUNTIF($J$150:$J$165,"&gt;="&amp;M169)-COUNTIF($J$150:$J$165,"&gt;"&amp;M170)</f>
        <v>1</v>
      </c>
    </row>
    <row r="170" customFormat="false" ht="15" hidden="false" customHeight="false" outlineLevel="0" collapsed="false">
      <c r="H170" s="35" t="s">
        <v>83</v>
      </c>
      <c r="I170" s="11"/>
      <c r="J170" s="11" t="n">
        <f aca="false">MIN(J150:J165)</f>
        <v>-1.58693007059293</v>
      </c>
      <c r="K170" s="23"/>
      <c r="L170" s="11" t="n">
        <f aca="false">M169</f>
        <v>1.5</v>
      </c>
      <c r="M170" s="36" t="s">
        <v>84</v>
      </c>
      <c r="N170" s="11" t="n">
        <f aca="false">COUNTIF($J$150:$J$165,"&gt;="&amp;M170)-COUNTIF($J$150:$J$165,"&gt;"&amp;M171)</f>
        <v>0</v>
      </c>
    </row>
    <row r="171" customFormat="false" ht="15" hidden="false" customHeight="false" outlineLevel="0" collapsed="false">
      <c r="H171" s="35" t="s">
        <v>85</v>
      </c>
      <c r="I171" s="11"/>
      <c r="J171" s="11" t="n">
        <f aca="false">MAX(J150:J165)</f>
        <v>1.6471463517513</v>
      </c>
      <c r="K171" s="23"/>
      <c r="L171" s="23"/>
    </row>
    <row r="172" customFormat="false" ht="15" hidden="false" customHeight="false" outlineLevel="0" collapsed="false">
      <c r="C172" s="23"/>
      <c r="H172" s="35" t="s">
        <v>86</v>
      </c>
      <c r="I172" s="11" t="n">
        <f aca="false">SQRT(I169)</f>
        <v>28467.9548790413</v>
      </c>
      <c r="J172" s="11"/>
      <c r="K172" s="23"/>
    </row>
    <row r="173" customFormat="false" ht="15" hidden="false" customHeight="false" outlineLevel="0" collapsed="false">
      <c r="C173" s="23"/>
      <c r="H173" s="43"/>
      <c r="K173" s="23"/>
    </row>
    <row r="174" customFormat="false" ht="15" hidden="false" customHeight="false" outlineLevel="0" collapsed="false">
      <c r="C174" s="23"/>
      <c r="H174" s="43"/>
      <c r="K174" s="23"/>
    </row>
    <row r="175" customFormat="false" ht="15" hidden="false" customHeight="false" outlineLevel="0" collapsed="false">
      <c r="C175" s="23"/>
      <c r="H175" s="43"/>
      <c r="K175" s="23"/>
    </row>
    <row r="176" customFormat="false" ht="15" hidden="false" customHeight="false" outlineLevel="0" collapsed="false">
      <c r="A176" s="23"/>
      <c r="B176" s="43" t="s">
        <v>13</v>
      </c>
      <c r="C176" s="43"/>
      <c r="E176" s="23"/>
      <c r="F176" s="23"/>
      <c r="G176" s="23"/>
      <c r="H176" s="23"/>
      <c r="I176" s="23"/>
      <c r="J176" s="23"/>
    </row>
    <row r="177" customFormat="false" ht="16.4" hidden="false" customHeight="false" outlineLevel="0" collapsed="false">
      <c r="A177" s="44" t="s">
        <v>39</v>
      </c>
      <c r="B177" s="45" t="s">
        <v>87</v>
      </c>
      <c r="C177" s="45" t="s">
        <v>88</v>
      </c>
      <c r="D177" s="45" t="s">
        <v>89</v>
      </c>
      <c r="E177" s="45" t="s">
        <v>90</v>
      </c>
      <c r="F177" s="45" t="s">
        <v>91</v>
      </c>
      <c r="G177" s="45" t="s">
        <v>92</v>
      </c>
      <c r="H177" s="45" t="s">
        <v>93</v>
      </c>
      <c r="I177" s="46" t="s">
        <v>94</v>
      </c>
      <c r="J177" s="29" t="s">
        <v>48</v>
      </c>
      <c r="L177" s="47" t="s">
        <v>95</v>
      </c>
      <c r="M177" s="11" t="n">
        <v>2007</v>
      </c>
      <c r="N177" s="11" t="n">
        <v>2008</v>
      </c>
      <c r="O177" s="11" t="n">
        <v>2009</v>
      </c>
      <c r="P177" s="11" t="n">
        <v>2010</v>
      </c>
      <c r="Q177" s="36" t="s">
        <v>98</v>
      </c>
    </row>
    <row r="178" customFormat="false" ht="16.4" hidden="false" customHeight="false" outlineLevel="0" collapsed="false">
      <c r="A178" s="10" t="s">
        <v>16</v>
      </c>
      <c r="B178" s="10" t="n">
        <v>1244508.9</v>
      </c>
      <c r="C178" s="52" t="n">
        <f aca="false">(0.5*B178)+B179+B180+B181+(0.5*B182)/4</f>
        <v>4613059.5</v>
      </c>
      <c r="D178" s="10" t="n">
        <f aca="false">B178-C178</f>
        <v>-3368550.6</v>
      </c>
      <c r="E178" s="10" t="n">
        <v>-2389124.31875</v>
      </c>
      <c r="F178" s="10" t="n">
        <f aca="false">B178-E178</f>
        <v>3633633.21875</v>
      </c>
      <c r="G178" s="10" t="n">
        <f aca="false">AVERAGE(F178:F179)</f>
        <v>3672424.678125</v>
      </c>
      <c r="H178" s="10" t="n">
        <f aca="false">E178+G178</f>
        <v>1283300.359375</v>
      </c>
      <c r="I178" s="12" t="n">
        <f aca="false">B178-H178</f>
        <v>-38791.4593750001</v>
      </c>
      <c r="J178" s="11" t="n">
        <f aca="false">STANDARDIZE(I178,$I$196,$I$200)</f>
        <v>-0.64751876410324</v>
      </c>
      <c r="L178" s="11" t="s">
        <v>52</v>
      </c>
      <c r="M178" s="11" t="n">
        <v>-3368550.6</v>
      </c>
      <c r="N178" s="11" t="n">
        <v>-3597636.425</v>
      </c>
      <c r="O178" s="11" t="n">
        <v>-4262962.65</v>
      </c>
      <c r="P178" s="11" t="n">
        <v>1672652.4</v>
      </c>
      <c r="Q178" s="11" t="n">
        <f aca="false">AVERAGE(M178:P178)</f>
        <v>-2389124.31875</v>
      </c>
    </row>
    <row r="179" customFormat="false" ht="14.25" hidden="false" customHeight="true" outlineLevel="0" collapsed="false">
      <c r="A179" s="10" t="s">
        <v>17</v>
      </c>
      <c r="B179" s="10" t="n">
        <v>1277565</v>
      </c>
      <c r="C179" s="53" t="n">
        <f aca="false">(0.5*B179)+B180+B181+B182+(0.5*B183)/4</f>
        <v>4665598.0375</v>
      </c>
      <c r="D179" s="10" t="n">
        <f aca="false">B179-C179</f>
        <v>-3388033.0375</v>
      </c>
      <c r="E179" s="10" t="n">
        <v>-2433651.1375</v>
      </c>
      <c r="F179" s="10" t="n">
        <f aca="false">B179-E179</f>
        <v>3711216.1375</v>
      </c>
      <c r="G179" s="10" t="n">
        <f aca="false">AVERAGE(F178:F180)</f>
        <v>3718688.190625</v>
      </c>
      <c r="H179" s="10" t="n">
        <f aca="false">E179+G179</f>
        <v>1285037.053125</v>
      </c>
      <c r="I179" s="12" t="n">
        <f aca="false">B179-H179</f>
        <v>-7472.05312500009</v>
      </c>
      <c r="J179" s="11" t="n">
        <f aca="false">STANDARDIZE(I179,$I$196,$I$200)</f>
        <v>-0.127627681919536</v>
      </c>
      <c r="L179" s="11" t="s">
        <v>58</v>
      </c>
      <c r="M179" s="11" t="n">
        <v>-3388033.0375</v>
      </c>
      <c r="N179" s="11" t="n">
        <v>-3740761.9875</v>
      </c>
      <c r="O179" s="11" t="n">
        <v>-4336735.725</v>
      </c>
      <c r="P179" s="11" t="n">
        <v>1730926.2</v>
      </c>
      <c r="Q179" s="11" t="n">
        <f aca="false">AVERAGE(M179:P179)</f>
        <v>-2433651.1375</v>
      </c>
      <c r="ER179" s="11"/>
      <c r="ES179" s="36"/>
    </row>
    <row r="180" customFormat="false" ht="16.4" hidden="false" customHeight="false" outlineLevel="0" collapsed="false">
      <c r="A180" s="10" t="s">
        <v>18</v>
      </c>
      <c r="B180" s="10" t="n">
        <v>1280494.8</v>
      </c>
      <c r="C180" s="53" t="n">
        <f aca="false">(0.5*B180)+B181+B182+B183+(0.5*B184)/4</f>
        <v>4719744.3625</v>
      </c>
      <c r="D180" s="10" t="n">
        <f aca="false">B180-C180</f>
        <v>-3439249.5625</v>
      </c>
      <c r="E180" s="10" t="n">
        <v>-2530720.415625</v>
      </c>
      <c r="F180" s="10" t="n">
        <f aca="false">B180-E180</f>
        <v>3811215.215625</v>
      </c>
      <c r="G180" s="10" t="n">
        <f aca="false">AVERAGE(F179:F181)</f>
        <v>3802756.296875</v>
      </c>
      <c r="H180" s="10" t="n">
        <f aca="false">E180+G180</f>
        <v>1272035.88125</v>
      </c>
      <c r="I180" s="12" t="n">
        <f aca="false">B180-H180</f>
        <v>8458.91874999995</v>
      </c>
      <c r="J180" s="11" t="n">
        <f aca="false">STANDARDIZE(I180,$I$196,$I$200)</f>
        <v>0.136820824614074</v>
      </c>
      <c r="L180" s="11" t="s">
        <v>64</v>
      </c>
      <c r="M180" s="11" t="n">
        <v>-3439249.5625</v>
      </c>
      <c r="N180" s="11" t="n">
        <v>-3949879.0875</v>
      </c>
      <c r="O180" s="11" t="n">
        <v>-4443814.3125</v>
      </c>
      <c r="P180" s="11" t="n">
        <v>1710061.3</v>
      </c>
      <c r="Q180" s="11" t="n">
        <f aca="false">AVERAGE(M180:P180)</f>
        <v>-2530720.415625</v>
      </c>
      <c r="ER180" s="11"/>
      <c r="ES180" s="11"/>
    </row>
    <row r="181" customFormat="false" ht="16.4" hidden="false" customHeight="false" outlineLevel="0" collapsed="false">
      <c r="A181" s="10" t="s">
        <v>19</v>
      </c>
      <c r="B181" s="10" t="n">
        <v>1268858.7</v>
      </c>
      <c r="C181" s="52" t="n">
        <f aca="false">(0.5*B181)+B182+B183+B184+(0.5*B185)/4</f>
        <v>4798864.15</v>
      </c>
      <c r="D181" s="10" t="n">
        <f aca="false">B181-C181</f>
        <v>-3530005.45</v>
      </c>
      <c r="E181" s="10" t="n">
        <v>-2616978.8375</v>
      </c>
      <c r="F181" s="10" t="n">
        <f aca="false">B181-E181</f>
        <v>3885837.5375</v>
      </c>
      <c r="G181" s="10" t="n">
        <f aca="false">AVERAGE(F180:F182)</f>
        <v>3799089.82395833</v>
      </c>
      <c r="H181" s="10" t="n">
        <f aca="false">E181+G181</f>
        <v>1182110.98645833</v>
      </c>
      <c r="I181" s="12" t="n">
        <f aca="false">B181-H181</f>
        <v>86747.7135416667</v>
      </c>
      <c r="J181" s="11" t="n">
        <f aca="false">STANDARDIZE(I181,$I$196,$I$200)</f>
        <v>1.43638716767326</v>
      </c>
      <c r="L181" s="11" t="s">
        <v>70</v>
      </c>
      <c r="M181" s="11" t="n">
        <v>-3530005.45</v>
      </c>
      <c r="N181" s="11" t="n">
        <v>-4144761.775</v>
      </c>
      <c r="O181" s="11" t="n">
        <v>-4515320.325</v>
      </c>
      <c r="P181" s="11" t="n">
        <v>1722172.2</v>
      </c>
      <c r="Q181" s="11" t="n">
        <f aca="false">AVERAGE(M181:P181)</f>
        <v>-2616978.8375</v>
      </c>
      <c r="ER181" s="11"/>
      <c r="ES181" s="11"/>
    </row>
    <row r="182" customFormat="false" ht="16.4" hidden="false" customHeight="false" outlineLevel="0" collapsed="false">
      <c r="A182" s="10" t="s">
        <v>20</v>
      </c>
      <c r="B182" s="10" t="n">
        <v>1311092.4</v>
      </c>
      <c r="C182" s="53" t="n">
        <f aca="false">(0.5*B182)+B183+B184+B185+(0.5*B186)/4</f>
        <v>4908728.825</v>
      </c>
      <c r="D182" s="10" t="n">
        <f aca="false">B182-C182</f>
        <v>-3597636.425</v>
      </c>
      <c r="E182" s="10" t="n">
        <v>-2389124.31875</v>
      </c>
      <c r="F182" s="10" t="n">
        <f aca="false">B182-E182</f>
        <v>3700216.71875</v>
      </c>
      <c r="G182" s="10" t="n">
        <f aca="false">AVERAGE(F181:F183)</f>
        <v>3783554.16458333</v>
      </c>
      <c r="H182" s="10" t="n">
        <f aca="false">E182+G182</f>
        <v>1394429.84583333</v>
      </c>
      <c r="I182" s="12" t="n">
        <f aca="false">B182-H182</f>
        <v>-83337.4458333333</v>
      </c>
      <c r="J182" s="11" t="n">
        <f aca="false">STANDARDIZE(I182,$I$196,$I$200)</f>
        <v>-1.38696640630634</v>
      </c>
      <c r="ER182" s="11"/>
      <c r="ES182" s="11"/>
    </row>
    <row r="183" customFormat="false" ht="16.4" hidden="false" customHeight="false" outlineLevel="0" collapsed="false">
      <c r="A183" s="10" t="s">
        <v>21</v>
      </c>
      <c r="B183" s="10" t="n">
        <v>1330957.1</v>
      </c>
      <c r="C183" s="53" t="n">
        <f aca="false">(0.5*B183)+B184+B185+B186+(0.5*B187)/4</f>
        <v>5071719.0875</v>
      </c>
      <c r="D183" s="10" t="n">
        <f aca="false">B183-C183</f>
        <v>-3740761.9875</v>
      </c>
      <c r="E183" s="10" t="n">
        <v>-2433651.1375</v>
      </c>
      <c r="F183" s="10" t="n">
        <f aca="false">B183-E183</f>
        <v>3764608.2375</v>
      </c>
      <c r="G183" s="10" t="n">
        <f aca="false">AVERAGE(F182:F184)</f>
        <v>3781418.490625</v>
      </c>
      <c r="H183" s="10" t="n">
        <f aca="false">E183+G183</f>
        <v>1347767.353125</v>
      </c>
      <c r="I183" s="12" t="n">
        <f aca="false">B183-H183</f>
        <v>-16810.2531249998</v>
      </c>
      <c r="J183" s="11" t="n">
        <f aca="false">STANDARDIZE(I183,$I$196,$I$200)</f>
        <v>-0.282638503800865</v>
      </c>
      <c r="ER183" s="11"/>
      <c r="ES183" s="11"/>
    </row>
    <row r="184" customFormat="false" ht="16.4" hidden="false" customHeight="false" outlineLevel="0" collapsed="false">
      <c r="A184" s="10" t="s">
        <v>22</v>
      </c>
      <c r="B184" s="10" t="n">
        <v>1348710.1</v>
      </c>
      <c r="C184" s="53" t="n">
        <f aca="false">(0.5*B184)+B185+B186+B187+(0.5*B188)/4</f>
        <v>5298589.1875</v>
      </c>
      <c r="D184" s="10" t="n">
        <f aca="false">B184-C184</f>
        <v>-3949879.0875</v>
      </c>
      <c r="E184" s="10" t="n">
        <v>-2530720.415625</v>
      </c>
      <c r="F184" s="10" t="n">
        <f aca="false">B184-E184</f>
        <v>3879430.515625</v>
      </c>
      <c r="G184" s="10" t="n">
        <f aca="false">AVERAGE(F183:F185)</f>
        <v>3883473.06354167</v>
      </c>
      <c r="H184" s="10" t="n">
        <f aca="false">E184+G184</f>
        <v>1352752.64791667</v>
      </c>
      <c r="I184" s="12" t="n">
        <f aca="false">B184-H184</f>
        <v>-4042.54791666707</v>
      </c>
      <c r="J184" s="11" t="n">
        <f aca="false">STANDARDIZE(I184,$I$196,$I$200)</f>
        <v>-0.070699106713392</v>
      </c>
    </row>
    <row r="185" customFormat="false" ht="16.4" hidden="false" customHeight="false" outlineLevel="0" collapsed="false">
      <c r="A185" s="10" t="s">
        <v>23</v>
      </c>
      <c r="B185" s="10" t="n">
        <v>1389401.6</v>
      </c>
      <c r="C185" s="53" t="n">
        <f aca="false">(0.5*B185)+B186+B187+B188+(0.5*B189)/4</f>
        <v>5534163.375</v>
      </c>
      <c r="D185" s="10" t="n">
        <f aca="false">B185-C185</f>
        <v>-4144761.775</v>
      </c>
      <c r="E185" s="10" t="n">
        <v>-2616978.8375</v>
      </c>
      <c r="F185" s="10" t="n">
        <f aca="false">B185-E185</f>
        <v>4006380.4375</v>
      </c>
      <c r="G185" s="10" t="n">
        <f aca="false">AVERAGE(F184:F186)</f>
        <v>3915948.62395833</v>
      </c>
      <c r="H185" s="10" t="n">
        <f aca="false">E185+G185</f>
        <v>1298969.78645833</v>
      </c>
      <c r="I185" s="12" t="n">
        <f aca="false">B185-H185</f>
        <v>90431.8135416666</v>
      </c>
      <c r="J185" s="11" t="n">
        <f aca="false">STANDARDIZE(I185,$I$196,$I$200)</f>
        <v>1.49754192650184</v>
      </c>
      <c r="L185" s="33" t="s">
        <v>75</v>
      </c>
      <c r="M185" s="9" t="n">
        <f aca="false">_xlfn.STDEV.P(E20:E35)</f>
        <v>178667.21673138</v>
      </c>
    </row>
    <row r="186" customFormat="false" ht="16.4" hidden="false" customHeight="false" outlineLevel="0" collapsed="false">
      <c r="A186" s="10" t="s">
        <v>25</v>
      </c>
      <c r="B186" s="10" t="n">
        <v>1472910.6</v>
      </c>
      <c r="C186" s="52" t="n">
        <f aca="false">(0.5*B186)+B187+B188+B189+(0.5*B190)/4</f>
        <v>5735873.25</v>
      </c>
      <c r="D186" s="10" t="n">
        <f aca="false">B186-C186</f>
        <v>-4262962.65</v>
      </c>
      <c r="E186" s="10" t="n">
        <v>-2389124.31875</v>
      </c>
      <c r="F186" s="10" t="n">
        <f aca="false">B186-E186</f>
        <v>3862034.91875</v>
      </c>
      <c r="G186" s="10" t="n">
        <f aca="false">AVERAGE(F185:F187)</f>
        <v>3954604.13125</v>
      </c>
      <c r="H186" s="10" t="n">
        <f aca="false">E186+G186</f>
        <v>1565479.8125</v>
      </c>
      <c r="I186" s="12" t="n">
        <f aca="false">B186-H186</f>
        <v>-92569.2124999999</v>
      </c>
      <c r="J186" s="11" t="n">
        <f aca="false">STANDARDIZE(I186,$I$196,$I$200)</f>
        <v>-1.54021047244507</v>
      </c>
      <c r="L186" s="23"/>
    </row>
    <row r="187" customFormat="false" ht="16.4" hidden="false" customHeight="false" outlineLevel="0" collapsed="false">
      <c r="A187" s="10" t="s">
        <v>26</v>
      </c>
      <c r="B187" s="10" t="n">
        <v>1561745.9</v>
      </c>
      <c r="C187" s="53" t="n">
        <f aca="false">(0.5*B187)+B188+B189+B190+(0.5*B191)/4</f>
        <v>5898481.625</v>
      </c>
      <c r="D187" s="10" t="n">
        <f aca="false">B187-C187</f>
        <v>-4336735.725</v>
      </c>
      <c r="E187" s="10" t="n">
        <v>-2433651.1375</v>
      </c>
      <c r="F187" s="10" t="n">
        <f aca="false">B187-E187</f>
        <v>3995397.0375</v>
      </c>
      <c r="G187" s="10" t="n">
        <f aca="false">AVERAGE(F186:F188)</f>
        <v>3996520.22395833</v>
      </c>
      <c r="H187" s="10" t="n">
        <f aca="false">E187+G187</f>
        <v>1562869.08645833</v>
      </c>
      <c r="I187" s="12" t="n">
        <f aca="false">B187-H187</f>
        <v>-1123.1864583334</v>
      </c>
      <c r="J187" s="11" t="n">
        <f aca="false">STANDARDIZE(I187,$I$196,$I$200)</f>
        <v>-0.0222387375817617</v>
      </c>
      <c r="L187" s="23"/>
    </row>
    <row r="188" customFormat="false" ht="16.4" hidden="false" customHeight="false" outlineLevel="0" collapsed="false">
      <c r="A188" s="10" t="s">
        <v>27</v>
      </c>
      <c r="B188" s="10" t="n">
        <v>1601408.3</v>
      </c>
      <c r="C188" s="53" t="n">
        <f aca="false">(0.5*B188)+B189+B190+B191+(0.5*B192)/4</f>
        <v>6045222.6125</v>
      </c>
      <c r="D188" s="10" t="n">
        <f aca="false">B188-C188</f>
        <v>-4443814.3125</v>
      </c>
      <c r="E188" s="10" t="n">
        <v>-2530720.415625</v>
      </c>
      <c r="F188" s="10" t="n">
        <f aca="false">B188-E188</f>
        <v>4132128.715625</v>
      </c>
      <c r="G188" s="10" t="n">
        <f aca="false">AVERAGE(F187:F189)</f>
        <v>4123895.596875</v>
      </c>
      <c r="H188" s="10" t="n">
        <f aca="false">E188+G188</f>
        <v>1593175.18125</v>
      </c>
      <c r="I188" s="12" t="n">
        <f aca="false">B188-H188</f>
        <v>8233.11874999967</v>
      </c>
      <c r="J188" s="11" t="n">
        <f aca="false">STANDARDIZE(I188,$I$196,$I$200)</f>
        <v>0.1330726243634</v>
      </c>
      <c r="L188" s="33" t="s">
        <v>76</v>
      </c>
      <c r="M188" s="34" t="n">
        <f aca="false">(E35/E20)^(1/15)-1</f>
        <v>0.0218925614261565</v>
      </c>
    </row>
    <row r="189" customFormat="false" ht="16.4" hidden="false" customHeight="false" outlineLevel="0" collapsed="false">
      <c r="A189" s="10" t="s">
        <v>28</v>
      </c>
      <c r="B189" s="10" t="n">
        <v>1627182.2</v>
      </c>
      <c r="C189" s="53" t="n">
        <f aca="false">(0.5*B189)+B190+B191+B192+(0.5*B193)/4</f>
        <v>6142502.525</v>
      </c>
      <c r="D189" s="10" t="n">
        <f aca="false">B189-C189</f>
        <v>-4515320.325</v>
      </c>
      <c r="E189" s="10" t="n">
        <v>-2616978.8375</v>
      </c>
      <c r="F189" s="10" t="n">
        <f aca="false">B189-E189</f>
        <v>4244161.0375</v>
      </c>
      <c r="G189" s="10" t="n">
        <f aca="false">AVERAGE(F188:F190)</f>
        <v>4146022.15729167</v>
      </c>
      <c r="H189" s="10" t="n">
        <f aca="false">E189+G189</f>
        <v>1529043.31979167</v>
      </c>
      <c r="I189" s="12" t="n">
        <f aca="false">B189-H189</f>
        <v>98138.8802083333</v>
      </c>
      <c r="J189" s="11" t="n">
        <f aca="false">STANDARDIZE(I189,$I$196,$I$200)</f>
        <v>1.6254765111428</v>
      </c>
    </row>
    <row r="190" customFormat="false" ht="16.4" hidden="false" customHeight="false" outlineLevel="0" collapsed="false">
      <c r="A190" s="10" t="s">
        <v>29</v>
      </c>
      <c r="B190" s="10" t="n">
        <v>1672652.4</v>
      </c>
      <c r="C190" s="52"/>
      <c r="D190" s="10" t="n">
        <f aca="false">B190-C190</f>
        <v>1672652.4</v>
      </c>
      <c r="E190" s="10" t="n">
        <v>-2389124.31875</v>
      </c>
      <c r="F190" s="10" t="n">
        <f aca="false">B190-E190</f>
        <v>4061776.71875</v>
      </c>
      <c r="G190" s="10" t="n">
        <f aca="false">AVERAGE(F189:F191)</f>
        <v>4156838.36458333</v>
      </c>
      <c r="H190" s="10" t="n">
        <f aca="false">E190+G190</f>
        <v>1767714.04583333</v>
      </c>
      <c r="I190" s="12" t="n">
        <f aca="false">B190-H190</f>
        <v>-95061.6458333335</v>
      </c>
      <c r="J190" s="11" t="n">
        <f aca="false">STANDARDIZE(I190,$I$196,$I$200)</f>
        <v>-1.5815839854866</v>
      </c>
      <c r="L190" s="35" t="s">
        <v>77</v>
      </c>
      <c r="M190" s="35" t="s">
        <v>78</v>
      </c>
      <c r="N190" s="35" t="s">
        <v>79</v>
      </c>
    </row>
    <row r="191" customFormat="false" ht="15" hidden="false" customHeight="false" outlineLevel="0" collapsed="false">
      <c r="A191" s="10" t="s">
        <v>30</v>
      </c>
      <c r="B191" s="10" t="n">
        <v>1730926.2</v>
      </c>
      <c r="C191" s="52"/>
      <c r="D191" s="10" t="n">
        <f aca="false">B191-C191</f>
        <v>1730926.2</v>
      </c>
      <c r="E191" s="10" t="n">
        <v>-2433651.1375</v>
      </c>
      <c r="F191" s="10" t="n">
        <f aca="false">B191-E191</f>
        <v>4164577.3375</v>
      </c>
      <c r="G191" s="10" t="n">
        <f aca="false">AVERAGE(F190:F192)</f>
        <v>4155711.92395833</v>
      </c>
      <c r="H191" s="10" t="n">
        <f aca="false">E191+G191</f>
        <v>1722060.78645833</v>
      </c>
      <c r="I191" s="12" t="n">
        <f aca="false">B191-H191</f>
        <v>8865.41354166647</v>
      </c>
      <c r="J191" s="11" t="n">
        <f aca="false">STANDARDIZE(I191,$I$196,$I$200)</f>
        <v>0.143568494587592</v>
      </c>
      <c r="L191" s="54" t="s">
        <v>80</v>
      </c>
      <c r="M191" s="55" t="n">
        <v>-1.5</v>
      </c>
      <c r="N191" s="55" t="n">
        <f aca="false">COUNTIF(J178:J193,"&lt;"&amp;M191)</f>
        <v>2</v>
      </c>
    </row>
    <row r="192" customFormat="false" ht="15" hidden="false" customHeight="false" outlineLevel="0" collapsed="false">
      <c r="A192" s="10" t="s">
        <v>31</v>
      </c>
      <c r="B192" s="10" t="n">
        <v>1710061.3</v>
      </c>
      <c r="C192" s="52"/>
      <c r="D192" s="10" t="n">
        <f aca="false">B192-C192</f>
        <v>1710061.3</v>
      </c>
      <c r="E192" s="10" t="n">
        <v>-2530720.415625</v>
      </c>
      <c r="F192" s="10" t="n">
        <f aca="false">B192-E192</f>
        <v>4240781.715625</v>
      </c>
      <c r="G192" s="10" t="n">
        <f aca="false">AVERAGE(F191:F193)</f>
        <v>4248170.03020833</v>
      </c>
      <c r="H192" s="10" t="n">
        <f aca="false">E192+G192</f>
        <v>1717449.61458333</v>
      </c>
      <c r="I192" s="12" t="n">
        <f aca="false">B192-H192</f>
        <v>-7388.31458333344</v>
      </c>
      <c r="J192" s="11" t="n">
        <f aca="false">STANDARDIZE(I192,$I$196,$I$200)</f>
        <v>-0.126237651703125</v>
      </c>
      <c r="L192" s="11" t="n">
        <f aca="false">M191</f>
        <v>-1.5</v>
      </c>
      <c r="M192" s="11" t="n">
        <f aca="false">M191+0.5</f>
        <v>-1</v>
      </c>
      <c r="N192" s="11" t="n">
        <f aca="false">COUNTIF($J$178:$J$193,"&gt;="&amp;M192)-COUNTIF($J$178:$J$193,"&gt;"&amp;M193)</f>
        <v>1</v>
      </c>
    </row>
    <row r="193" customFormat="false" ht="15" hidden="false" customHeight="false" outlineLevel="0" collapsed="false">
      <c r="A193" s="10" t="s">
        <v>32</v>
      </c>
      <c r="B193" s="10" t="n">
        <v>1722172.2</v>
      </c>
      <c r="C193" s="52"/>
      <c r="D193" s="10" t="n">
        <f aca="false">B193-C193</f>
        <v>1722172.2</v>
      </c>
      <c r="E193" s="10" t="n">
        <v>-2616978.8375</v>
      </c>
      <c r="F193" s="10" t="n">
        <f aca="false">B193-E193</f>
        <v>4339151.0375</v>
      </c>
      <c r="G193" s="10" t="n">
        <f aca="false">AVERAGE(F192:F193)</f>
        <v>4289966.3765625</v>
      </c>
      <c r="H193" s="10" t="n">
        <f aca="false">E193+G193</f>
        <v>1672987.5390625</v>
      </c>
      <c r="I193" s="12" t="n">
        <f aca="false">B193-H193</f>
        <v>49184.6609375</v>
      </c>
      <c r="J193" s="11" t="n">
        <f aca="false">STANDARDIZE(I193,$I$196,$I$200)</f>
        <v>0.812853761176972</v>
      </c>
      <c r="L193" s="11" t="n">
        <f aca="false">M192</f>
        <v>-1</v>
      </c>
      <c r="M193" s="11" t="n">
        <f aca="false">M192+0.5</f>
        <v>-0.5</v>
      </c>
      <c r="N193" s="11" t="n">
        <f aca="false">COUNTIF($J$178:$J$193,"&gt;="&amp;M193)-COUNTIF($J$178:$J$193,"&gt;"&amp;M194)</f>
        <v>5</v>
      </c>
    </row>
    <row r="194" customFormat="false" ht="15" hidden="false" customHeight="false" outlineLevel="0" collapsed="false">
      <c r="D194" s="56"/>
      <c r="E194" s="23"/>
      <c r="F194" s="23"/>
      <c r="G194" s="23"/>
      <c r="H194" s="9"/>
      <c r="K194" s="23"/>
      <c r="L194" s="11" t="n">
        <f aca="false">M193</f>
        <v>-0.5</v>
      </c>
      <c r="M194" s="11" t="n">
        <f aca="false">M193+0.5</f>
        <v>0</v>
      </c>
      <c r="N194" s="11" t="n">
        <f aca="false">COUNTIF($J$178:$J$193,"&gt;="&amp;M194)-COUNTIF($J$178:$J$193,"&gt;"&amp;M195)</f>
        <v>3</v>
      </c>
    </row>
    <row r="195" customFormat="false" ht="16.4" hidden="false" customHeight="false" outlineLevel="0" collapsed="false">
      <c r="D195" s="56"/>
      <c r="E195" s="23"/>
      <c r="F195" s="23"/>
      <c r="G195" s="23"/>
      <c r="H195" s="23"/>
      <c r="I195" s="25" t="s">
        <v>47</v>
      </c>
      <c r="J195" s="37" t="s">
        <v>48</v>
      </c>
      <c r="K195" s="23"/>
      <c r="L195" s="11" t="n">
        <f aca="false">M194</f>
        <v>0</v>
      </c>
      <c r="M195" s="11" t="n">
        <f aca="false">M194+0.5</f>
        <v>0.5</v>
      </c>
      <c r="N195" s="11" t="n">
        <f aca="false">COUNTIF($J$178:$J$193,"&gt;="&amp;M195)-COUNTIF($J$178:$J$193,"&gt;"&amp;M196)</f>
        <v>1</v>
      </c>
    </row>
    <row r="196" customFormat="false" ht="15" hidden="false" customHeight="false" outlineLevel="0" collapsed="false">
      <c r="D196" s="56"/>
      <c r="E196" s="23"/>
      <c r="F196" s="23"/>
      <c r="G196" s="23"/>
      <c r="H196" s="38" t="s">
        <v>81</v>
      </c>
      <c r="I196" s="57" t="n">
        <f aca="false">AVERAGE(I178:I193)</f>
        <v>216.525032551974</v>
      </c>
      <c r="J196" s="24" t="n">
        <f aca="false">AVERAGE(J178:J193)</f>
        <v>0</v>
      </c>
      <c r="K196" s="23"/>
      <c r="L196" s="11" t="n">
        <f aca="false">M195</f>
        <v>0.5</v>
      </c>
      <c r="M196" s="11" t="n">
        <f aca="false">M195+0.5</f>
        <v>1</v>
      </c>
      <c r="N196" s="11" t="n">
        <f aca="false">COUNTIF($J$178:$J$193,"&gt;="&amp;M196)-COUNTIF($J$178:$J$193,"&gt;"&amp;M197)</f>
        <v>2</v>
      </c>
    </row>
    <row r="197" customFormat="false" ht="15" hidden="false" customHeight="false" outlineLevel="0" collapsed="false">
      <c r="D197" s="56"/>
      <c r="E197" s="23"/>
      <c r="F197" s="23"/>
      <c r="G197" s="23"/>
      <c r="H197" s="39" t="s">
        <v>82</v>
      </c>
      <c r="I197" s="41" t="n">
        <f aca="false">VAR(I178:I193)</f>
        <v>3629128153.03954</v>
      </c>
      <c r="J197" s="41" t="n">
        <f aca="false">VAR(J178:J193)</f>
        <v>1</v>
      </c>
      <c r="K197" s="23"/>
      <c r="L197" s="58" t="n">
        <f aca="false">M196</f>
        <v>1</v>
      </c>
      <c r="M197" s="58" t="n">
        <f aca="false">M196+0.5</f>
        <v>1.5</v>
      </c>
      <c r="N197" s="58" t="n">
        <f aca="false">COUNTIF($J$178:$J$193,"&gt;="&amp;M197)-COUNTIF($J$178:$J$193,"&gt;"&amp;M198)</f>
        <v>1</v>
      </c>
    </row>
    <row r="198" customFormat="false" ht="15" hidden="false" customHeight="false" outlineLevel="0" collapsed="false">
      <c r="D198" s="56"/>
      <c r="E198" s="23"/>
      <c r="F198" s="23"/>
      <c r="G198" s="23"/>
      <c r="H198" s="35" t="s">
        <v>83</v>
      </c>
      <c r="I198" s="59"/>
      <c r="J198" s="24" t="n">
        <f aca="false">MIN(J178:J193)</f>
        <v>-1.5815839854866</v>
      </c>
      <c r="K198" s="23"/>
      <c r="L198" s="11" t="n">
        <f aca="false">M197</f>
        <v>1.5</v>
      </c>
      <c r="M198" s="36" t="s">
        <v>84</v>
      </c>
      <c r="N198" s="11" t="n">
        <f aca="false">COUNTIF($J$178:$J$193,"&gt;="&amp;M198)-COUNTIF($J$178:$J$193,"&gt;"&amp;M199)</f>
        <v>0</v>
      </c>
    </row>
    <row r="199" customFormat="false" ht="15" hidden="false" customHeight="false" outlineLevel="0" collapsed="false">
      <c r="D199" s="56"/>
      <c r="E199" s="23"/>
      <c r="F199" s="23"/>
      <c r="G199" s="23"/>
      <c r="H199" s="35" t="s">
        <v>85</v>
      </c>
      <c r="I199" s="59"/>
      <c r="J199" s="24" t="n">
        <f aca="false">MAX(J178:J193)</f>
        <v>1.6254765111428</v>
      </c>
      <c r="K199" s="23"/>
      <c r="L199" s="60"/>
      <c r="M199" s="60"/>
      <c r="N199" s="60"/>
    </row>
    <row r="200" customFormat="false" ht="15" hidden="false" customHeight="false" outlineLevel="0" collapsed="false">
      <c r="C200" s="23"/>
      <c r="H200" s="35" t="s">
        <v>86</v>
      </c>
      <c r="I200" s="11" t="n">
        <f aca="false">SQRT(I197)</f>
        <v>60242.2455843035</v>
      </c>
      <c r="J200" s="11"/>
      <c r="K200" s="23"/>
    </row>
    <row r="201" customFormat="false" ht="15" hidden="false" customHeight="true" outlineLevel="0" collapsed="false">
      <c r="C201" s="23"/>
      <c r="H201" s="43"/>
      <c r="K201" s="23"/>
    </row>
    <row r="202" customFormat="false" ht="15" hidden="false" customHeight="false" outlineLevel="0" collapsed="false">
      <c r="C202" s="23"/>
      <c r="H202" s="43"/>
      <c r="K202" s="23"/>
    </row>
    <row r="203" customFormat="false" ht="15" hidden="false" customHeight="false" outlineLevel="0" collapsed="false">
      <c r="C203" s="23"/>
      <c r="H203" s="43"/>
      <c r="K203" s="23"/>
    </row>
    <row r="204" customFormat="false" ht="15" hidden="false" customHeight="false" outlineLevel="0" collapsed="false">
      <c r="A204" s="23"/>
      <c r="B204" s="43" t="s">
        <v>14</v>
      </c>
      <c r="C204" s="43"/>
    </row>
    <row r="205" customFormat="false" ht="16.4" hidden="false" customHeight="false" outlineLevel="0" collapsed="false">
      <c r="A205" s="44" t="s">
        <v>39</v>
      </c>
      <c r="B205" s="45" t="s">
        <v>87</v>
      </c>
      <c r="C205" s="45" t="s">
        <v>88</v>
      </c>
      <c r="D205" s="45" t="s">
        <v>89</v>
      </c>
      <c r="E205" s="45" t="s">
        <v>90</v>
      </c>
      <c r="F205" s="45" t="s">
        <v>91</v>
      </c>
      <c r="G205" s="45" t="s">
        <v>92</v>
      </c>
      <c r="H205" s="45" t="s">
        <v>93</v>
      </c>
      <c r="I205" s="46" t="s">
        <v>94</v>
      </c>
      <c r="J205" s="29" t="s">
        <v>48</v>
      </c>
      <c r="L205" s="47" t="s">
        <v>95</v>
      </c>
      <c r="M205" s="11" t="n">
        <v>2007</v>
      </c>
      <c r="N205" s="11" t="n">
        <v>2008</v>
      </c>
      <c r="O205" s="11" t="n">
        <v>2009</v>
      </c>
      <c r="P205" s="11" t="n">
        <v>2010</v>
      </c>
      <c r="Q205" s="36" t="s">
        <v>96</v>
      </c>
    </row>
    <row r="206" customFormat="false" ht="15" hidden="false" customHeight="false" outlineLevel="0" collapsed="false">
      <c r="A206" s="10" t="s">
        <v>16</v>
      </c>
      <c r="B206" s="10" t="n">
        <v>1686726.2</v>
      </c>
      <c r="C206" s="11" t="n">
        <f aca="false">(0.5*B206)+B207+B208+B209+(0.5*B210)/4</f>
        <v>6138913.075</v>
      </c>
      <c r="D206" s="10" t="n">
        <f aca="false">B206-C206</f>
        <v>-4452186.875</v>
      </c>
      <c r="E206" s="11" t="n">
        <v>-2998559.16875</v>
      </c>
      <c r="F206" s="10" t="n">
        <f aca="false">B206-E206</f>
        <v>4685285.36875</v>
      </c>
      <c r="G206" s="11" t="n">
        <f aca="false">AVERAGE(E206:E207)</f>
        <v>-3014174.621875</v>
      </c>
      <c r="H206" s="11" t="n">
        <f aca="false">E206+G206</f>
        <v>-6012733.790625</v>
      </c>
      <c r="I206" s="12" t="n">
        <f aca="false">B206-H206</f>
        <v>7699459.990625</v>
      </c>
      <c r="J206" s="11" t="n">
        <f aca="false">STANDARDIZE(I206,$I$224,$I$228)</f>
        <v>3.74955980810438</v>
      </c>
      <c r="K206" s="9"/>
      <c r="L206" s="11" t="s">
        <v>52</v>
      </c>
      <c r="M206" s="11" t="n">
        <v>-4452186.875</v>
      </c>
      <c r="N206" s="11" t="n">
        <v>-4558153.2625</v>
      </c>
      <c r="O206" s="11" t="n">
        <v>-4860308.4375</v>
      </c>
      <c r="P206" s="11" t="n">
        <v>1876411.9</v>
      </c>
      <c r="Q206" s="11" t="n">
        <f aca="false">AVERAGE(M206:P206)</f>
        <v>-2998559.16875</v>
      </c>
    </row>
    <row r="207" customFormat="false" ht="15" hidden="false" customHeight="false" outlineLevel="0" collapsed="false">
      <c r="A207" s="10" t="s">
        <v>17</v>
      </c>
      <c r="B207" s="10" t="n">
        <v>1701397.6</v>
      </c>
      <c r="C207" s="11" t="n">
        <f aca="false">(0.5*B207)+B208+B209+B210+(0.5*B211)/4</f>
        <v>6171798.4375</v>
      </c>
      <c r="D207" s="10" t="n">
        <f aca="false">B207-C207</f>
        <v>-4470400.8375</v>
      </c>
      <c r="E207" s="11" t="n">
        <v>-3029790.075</v>
      </c>
      <c r="F207" s="10" t="n">
        <f aca="false">B207-E207</f>
        <v>4731187.675</v>
      </c>
      <c r="G207" s="10" t="n">
        <f aca="false">AVERAGE(F206:F208)</f>
        <v>4727263.10833333</v>
      </c>
      <c r="H207" s="11" t="n">
        <f aca="false">E207+G207</f>
        <v>1697473.03333333</v>
      </c>
      <c r="I207" s="12" t="n">
        <f aca="false">B207-H207</f>
        <v>3924.56666666688</v>
      </c>
      <c r="J207" s="11" t="n">
        <f aca="false">STANDARDIZE(I207,$I$224,$I$228)</f>
        <v>-0.248854027408691</v>
      </c>
      <c r="L207" s="11" t="s">
        <v>58</v>
      </c>
      <c r="M207" s="11" t="n">
        <v>-4470400.8375</v>
      </c>
      <c r="N207" s="11" t="n">
        <v>-4645381.35</v>
      </c>
      <c r="O207" s="11" t="n">
        <v>-4904148.6125</v>
      </c>
      <c r="P207" s="11" t="n">
        <v>1900770.5</v>
      </c>
      <c r="Q207" s="11" t="n">
        <f aca="false">AVERAGE(M207:P207)</f>
        <v>-3029790.075</v>
      </c>
      <c r="ER207" s="11"/>
      <c r="ES207" s="36"/>
    </row>
    <row r="208" customFormat="false" ht="15" hidden="false" customHeight="false" outlineLevel="0" collapsed="false">
      <c r="A208" s="10" t="s">
        <v>18</v>
      </c>
      <c r="B208" s="10" t="n">
        <v>1700613.2</v>
      </c>
      <c r="C208" s="11" t="n">
        <f aca="false">(0.5*B208)+B209+B210+B211+(0.5*B212)/4</f>
        <v>6200191.7375</v>
      </c>
      <c r="D208" s="10" t="n">
        <f aca="false">B208-C208</f>
        <v>-4499578.5375</v>
      </c>
      <c r="E208" s="11" t="n">
        <v>-3064703.08125</v>
      </c>
      <c r="F208" s="10" t="n">
        <f aca="false">B208-E208</f>
        <v>4765316.28125</v>
      </c>
      <c r="G208" s="10" t="n">
        <f aca="false">AVERAGE(F207:F209)</f>
        <v>4768983.78645833</v>
      </c>
      <c r="H208" s="11" t="n">
        <f aca="false">E208+G208</f>
        <v>1704280.70520833</v>
      </c>
      <c r="I208" s="12" t="n">
        <f aca="false">B208-H208</f>
        <v>-3667.50520833326</v>
      </c>
      <c r="J208" s="11" t="n">
        <f aca="false">STANDARDIZE(I208,$I$224,$I$228)</f>
        <v>-0.252798684089849</v>
      </c>
      <c r="L208" s="11" t="s">
        <v>64</v>
      </c>
      <c r="M208" s="11" t="n">
        <v>-4499578.5375</v>
      </c>
      <c r="N208" s="11" t="n">
        <v>-4756270.2</v>
      </c>
      <c r="O208" s="11" t="n">
        <v>-4924097.0875</v>
      </c>
      <c r="P208" s="11" t="n">
        <v>1921133.5</v>
      </c>
      <c r="Q208" s="11" t="n">
        <f aca="false">AVERAGE(M208:P208)</f>
        <v>-3064703.08125</v>
      </c>
      <c r="ER208" s="11"/>
      <c r="ES208" s="11"/>
    </row>
    <row r="209" customFormat="false" ht="15" hidden="false" customHeight="false" outlineLevel="0" collapsed="false">
      <c r="A209" s="10" t="s">
        <v>19</v>
      </c>
      <c r="B209" s="10" t="n">
        <v>1677724.7</v>
      </c>
      <c r="C209" s="11" t="n">
        <f aca="false">(0.5*B209)+B210+B211+B212+(0.5*B213)/4</f>
        <v>6238119.1375</v>
      </c>
      <c r="D209" s="10" t="n">
        <f aca="false">B209-C209</f>
        <v>-4560394.4375</v>
      </c>
      <c r="E209" s="11" t="n">
        <v>-3132722.703125</v>
      </c>
      <c r="F209" s="10" t="n">
        <f aca="false">B209-E209</f>
        <v>4810447.403125</v>
      </c>
      <c r="G209" s="10" t="n">
        <f aca="false">AVERAGE(F208:F210)</f>
        <v>4766946.21770833</v>
      </c>
      <c r="H209" s="11" t="n">
        <f aca="false">E209+G209</f>
        <v>1634223.51458333</v>
      </c>
      <c r="I209" s="12" t="n">
        <f aca="false">B209-H209</f>
        <v>43501.1854166666</v>
      </c>
      <c r="J209" s="11" t="n">
        <f aca="false">STANDARDIZE(I209,$I$224,$I$228)</f>
        <v>-0.22829097477428</v>
      </c>
      <c r="L209" s="11" t="s">
        <v>70</v>
      </c>
      <c r="M209" s="11" t="n">
        <v>-4560394.4375</v>
      </c>
      <c r="N209" s="11" t="n">
        <v>-4872886.35</v>
      </c>
      <c r="O209" s="11" t="n">
        <v>-5018710.225</v>
      </c>
      <c r="P209" s="11" t="n">
        <v>1921100.2</v>
      </c>
      <c r="Q209" s="11" t="n">
        <f aca="false">AVERAGE(M209:P209)</f>
        <v>-3132722.703125</v>
      </c>
      <c r="ER209" s="11"/>
      <c r="ES209" s="11"/>
    </row>
    <row r="210" customFormat="false" ht="15" hidden="false" customHeight="false" outlineLevel="0" collapsed="false">
      <c r="A210" s="10" t="s">
        <v>20</v>
      </c>
      <c r="B210" s="10" t="n">
        <v>1726515.8</v>
      </c>
      <c r="C210" s="11" t="n">
        <f aca="false">(0.5*B210)+B211+B212+B213+(0.5*B214)/4</f>
        <v>6284669.0625</v>
      </c>
      <c r="D210" s="10" t="n">
        <f aca="false">B210-C210</f>
        <v>-4558153.2625</v>
      </c>
      <c r="E210" s="11" t="n">
        <v>-2998559.16875</v>
      </c>
      <c r="F210" s="10" t="n">
        <f aca="false">B210-E210</f>
        <v>4725074.96875</v>
      </c>
      <c r="G210" s="10" t="n">
        <f aca="false">AVERAGE(F209:F211)</f>
        <v>4765093.315625</v>
      </c>
      <c r="H210" s="11" t="n">
        <f aca="false">E210+G210</f>
        <v>1766534.146875</v>
      </c>
      <c r="I210" s="12" t="n">
        <f aca="false">B210-H210</f>
        <v>-40018.3468750001</v>
      </c>
      <c r="J210" s="11" t="n">
        <f aca="false">STANDARDIZE(I210,$I$224,$I$228)</f>
        <v>-0.271685701073755</v>
      </c>
      <c r="ER210" s="11"/>
      <c r="ES210" s="11"/>
    </row>
    <row r="211" customFormat="false" ht="15" hidden="false" customHeight="false" outlineLevel="0" collapsed="false">
      <c r="A211" s="10" t="s">
        <v>21</v>
      </c>
      <c r="B211" s="10" t="n">
        <v>1729967.5</v>
      </c>
      <c r="C211" s="11" t="n">
        <f aca="false">(0.5*B211)+B212+B213+B214+(0.5*B215)/4</f>
        <v>6375348.85</v>
      </c>
      <c r="D211" s="10" t="n">
        <f aca="false">B211-C211</f>
        <v>-4645381.35</v>
      </c>
      <c r="E211" s="11" t="n">
        <v>-3029790.075</v>
      </c>
      <c r="F211" s="10" t="n">
        <f aca="false">B211-E211</f>
        <v>4759757.575</v>
      </c>
      <c r="G211" s="10" t="n">
        <f aca="false">AVERAGE(F210:F212)</f>
        <v>4758317.575</v>
      </c>
      <c r="H211" s="11" t="n">
        <f aca="false">E211+G211</f>
        <v>1728527.5</v>
      </c>
      <c r="I211" s="12" t="n">
        <f aca="false">B211-H211</f>
        <v>1440</v>
      </c>
      <c r="J211" s="11" t="n">
        <f aca="false">STANDARDIZE(I211,$I$224,$I$228)</f>
        <v>-0.250144948077359</v>
      </c>
      <c r="ER211" s="11"/>
      <c r="ES211" s="11"/>
    </row>
    <row r="212" customFormat="false" ht="15" hidden="false" customHeight="false" outlineLevel="0" collapsed="false">
      <c r="A212" s="10" t="s">
        <v>22</v>
      </c>
      <c r="B212" s="10" t="n">
        <v>1725417.1</v>
      </c>
      <c r="C212" s="11" t="n">
        <f aca="false">(0.5*B212)+B213+B214+B215+(0.5*B216)/4</f>
        <v>6481687.3</v>
      </c>
      <c r="D212" s="10" t="n">
        <f aca="false">B212-C212</f>
        <v>-4756270.2</v>
      </c>
      <c r="E212" s="11" t="n">
        <v>-3064703.08125</v>
      </c>
      <c r="F212" s="10" t="n">
        <f aca="false">B212-E212</f>
        <v>4790120.18125</v>
      </c>
      <c r="G212" s="10" t="n">
        <f aca="false">AVERAGE(F211:F213)</f>
        <v>4807150.51979167</v>
      </c>
      <c r="H212" s="11" t="n">
        <f aca="false">E212+G212</f>
        <v>1742447.43854167</v>
      </c>
      <c r="I212" s="12" t="n">
        <f aca="false">B212-H212</f>
        <v>-17030.3385416665</v>
      </c>
      <c r="J212" s="11" t="n">
        <f aca="false">STANDARDIZE(I212,$I$224,$I$228)</f>
        <v>-0.259741688668233</v>
      </c>
    </row>
    <row r="213" customFormat="false" ht="16.5" hidden="false" customHeight="true" outlineLevel="0" collapsed="false">
      <c r="A213" s="10" t="s">
        <v>23</v>
      </c>
      <c r="B213" s="10" t="n">
        <v>1738851.1</v>
      </c>
      <c r="C213" s="11" t="n">
        <f aca="false">(0.5*B213)+B214+B215+B216+(0.5*B217)/4</f>
        <v>6611737.45</v>
      </c>
      <c r="D213" s="10" t="n">
        <f aca="false">B213-C213</f>
        <v>-4872886.35</v>
      </c>
      <c r="E213" s="11" t="n">
        <v>-3132722.703125</v>
      </c>
      <c r="F213" s="10" t="n">
        <f aca="false">B213-E213</f>
        <v>4871573.803125</v>
      </c>
      <c r="G213" s="10" t="n">
        <f aca="false">AVERAGE(F212:F214)</f>
        <v>4825885.61770833</v>
      </c>
      <c r="H213" s="11" t="n">
        <f aca="false">E213+G213</f>
        <v>1693162.91458333</v>
      </c>
      <c r="I213" s="12" t="n">
        <f aca="false">B213-H213</f>
        <v>45688.1854166673</v>
      </c>
      <c r="J213" s="11" t="n">
        <f aca="false">STANDARDIZE(I213,$I$224,$I$228)</f>
        <v>-0.227154662539131</v>
      </c>
      <c r="L213" s="33" t="s">
        <v>75</v>
      </c>
      <c r="M213" s="9" t="n">
        <f aca="false">_xlfn.STDEV.P(F20:F35)</f>
        <v>85908.6872170597</v>
      </c>
    </row>
    <row r="214" customFormat="false" ht="15" hidden="false" customHeight="false" outlineLevel="0" collapsed="false">
      <c r="A214" s="10" t="s">
        <v>25</v>
      </c>
      <c r="B214" s="10" t="n">
        <v>1817403.7</v>
      </c>
      <c r="C214" s="11" t="n">
        <f aca="false">(0.5*B214)+B215+B216+B217+(0.5*B218)/4</f>
        <v>6677712.1375</v>
      </c>
      <c r="D214" s="10" t="n">
        <f aca="false">B214-C214</f>
        <v>-4860308.4375</v>
      </c>
      <c r="E214" s="11" t="n">
        <v>-2998559.16875</v>
      </c>
      <c r="F214" s="10" t="n">
        <f aca="false">B214-E214</f>
        <v>4815962.86875</v>
      </c>
      <c r="G214" s="10" t="n">
        <f aca="false">AVERAGE(F213:F215)</f>
        <v>4848957.44895833</v>
      </c>
      <c r="H214" s="11" t="n">
        <f aca="false">E214+G214</f>
        <v>1850398.28020833</v>
      </c>
      <c r="I214" s="12" t="n">
        <f aca="false">B214-H214</f>
        <v>-32994.5802083339</v>
      </c>
      <c r="J214" s="11" t="n">
        <f aca="false">STANDARDIZE(I214,$I$224,$I$228)</f>
        <v>-0.268036322015609</v>
      </c>
      <c r="L214" s="23"/>
    </row>
    <row r="215" customFormat="false" ht="15" hidden="false" customHeight="false" outlineLevel="0" collapsed="false">
      <c r="A215" s="10" t="s">
        <v>26</v>
      </c>
      <c r="B215" s="10" t="n">
        <v>1829545.6</v>
      </c>
      <c r="C215" s="11" t="n">
        <f aca="false">(0.5*B215)+B216+B217+B218+(0.5*B219)/4</f>
        <v>6733694.2125</v>
      </c>
      <c r="D215" s="10" t="n">
        <f aca="false">B215-C215</f>
        <v>-4904148.6125</v>
      </c>
      <c r="E215" s="11" t="n">
        <v>-3029790.075</v>
      </c>
      <c r="F215" s="10" t="n">
        <f aca="false">B215-E215</f>
        <v>4859335.675</v>
      </c>
      <c r="G215" s="10" t="n">
        <f aca="false">AVERAGE(F214:F216)</f>
        <v>4868476.14166667</v>
      </c>
      <c r="H215" s="11" t="n">
        <f aca="false">E215+G215</f>
        <v>1838686.06666667</v>
      </c>
      <c r="I215" s="12" t="n">
        <f aca="false">B215-H215</f>
        <v>-9140.46666666633</v>
      </c>
      <c r="J215" s="11" t="n">
        <f aca="false">STANDARDIZE(I215,$I$224,$I$228)</f>
        <v>-0.255642302319206</v>
      </c>
      <c r="L215" s="23"/>
    </row>
    <row r="216" customFormat="false" ht="16.4" hidden="false" customHeight="false" outlineLevel="0" collapsed="false">
      <c r="A216" s="10" t="s">
        <v>27</v>
      </c>
      <c r="B216" s="10" t="n">
        <v>1865426.8</v>
      </c>
      <c r="C216" s="11" t="n">
        <f aca="false">(0.5*B216)+B217+B218+B219+(0.5*B220)/4</f>
        <v>6789523.8875</v>
      </c>
      <c r="D216" s="10" t="n">
        <f aca="false">B216-C216</f>
        <v>-4924097.0875</v>
      </c>
      <c r="E216" s="11" t="n">
        <v>-3064703.08125</v>
      </c>
      <c r="F216" s="10" t="n">
        <f aca="false">B216-E216</f>
        <v>4930129.88125</v>
      </c>
      <c r="G216" s="10" t="n">
        <f aca="false">AVERAGE(F215:F217)</f>
        <v>4920558.21979167</v>
      </c>
      <c r="H216" s="11" t="n">
        <f aca="false">E216+G216</f>
        <v>1855855.13854167</v>
      </c>
      <c r="I216" s="12" t="n">
        <f aca="false">B216-H216</f>
        <v>9571.66145833326</v>
      </c>
      <c r="J216" s="11" t="n">
        <f aca="false">STANDARDIZE(I216,$I$224,$I$228)</f>
        <v>-0.245919933716502</v>
      </c>
      <c r="L216" s="33" t="s">
        <v>76</v>
      </c>
      <c r="M216" s="34" t="n">
        <f aca="false">(F35/F20)^(1/5)-1</f>
        <v>0.026363231051121</v>
      </c>
    </row>
    <row r="217" customFormat="false" ht="15" hidden="false" customHeight="false" outlineLevel="0" collapsed="false">
      <c r="A217" s="10" t="s">
        <v>28</v>
      </c>
      <c r="B217" s="10" t="n">
        <v>1839486.4</v>
      </c>
      <c r="C217" s="11" t="n">
        <f aca="false">(0.5*B217)+B218+B219+B220+(0.5*B221)/4</f>
        <v>6858196.625</v>
      </c>
      <c r="D217" s="10" t="n">
        <f aca="false">B217-C217</f>
        <v>-5018710.225</v>
      </c>
      <c r="E217" s="11" t="n">
        <v>-3132722.703125</v>
      </c>
      <c r="F217" s="10" t="n">
        <f aca="false">B217-E217</f>
        <v>4972209.103125</v>
      </c>
      <c r="G217" s="10" t="n">
        <f aca="false">AVERAGE(F216:F218)</f>
        <v>4925770.01770833</v>
      </c>
      <c r="H217" s="11" t="n">
        <f aca="false">E217+G217</f>
        <v>1793047.31458333</v>
      </c>
      <c r="I217" s="12" t="n">
        <f aca="false">B217-H217</f>
        <v>46439.0854166667</v>
      </c>
      <c r="J217" s="11" t="n">
        <f aca="false">STANDARDIZE(I217,$I$224,$I$228)</f>
        <v>-0.226764513084456</v>
      </c>
    </row>
    <row r="218" customFormat="false" ht="16.4" hidden="false" customHeight="false" outlineLevel="0" collapsed="false">
      <c r="A218" s="10" t="s">
        <v>29</v>
      </c>
      <c r="B218" s="10" t="n">
        <v>1876411.9</v>
      </c>
      <c r="C218" s="11"/>
      <c r="D218" s="10" t="n">
        <f aca="false">B218-C218</f>
        <v>1876411.9</v>
      </c>
      <c r="E218" s="11" t="n">
        <v>-2998559.16875</v>
      </c>
      <c r="F218" s="10" t="n">
        <f aca="false">B218-E218</f>
        <v>4874971.06875</v>
      </c>
      <c r="G218" s="10" t="n">
        <f aca="false">AVERAGE(F217:F219)</f>
        <v>4925913.58229167</v>
      </c>
      <c r="H218" s="11" t="n">
        <f aca="false">E218+G218</f>
        <v>1927354.41354167</v>
      </c>
      <c r="I218" s="12" t="n">
        <f aca="false">B218-H218</f>
        <v>-50942.5135416668</v>
      </c>
      <c r="J218" s="11" t="n">
        <f aca="false">STANDARDIZE(I218,$I$224,$I$228)</f>
        <v>-0.277361633511862</v>
      </c>
      <c r="L218" s="35" t="s">
        <v>77</v>
      </c>
      <c r="M218" s="35" t="s">
        <v>78</v>
      </c>
      <c r="N218" s="35" t="s">
        <v>79</v>
      </c>
    </row>
    <row r="219" customFormat="false" ht="15" hidden="false" customHeight="false" outlineLevel="0" collapsed="false">
      <c r="A219" s="10" t="s">
        <v>30</v>
      </c>
      <c r="B219" s="10" t="n">
        <v>1900770.5</v>
      </c>
      <c r="C219" s="11"/>
      <c r="D219" s="10" t="n">
        <f aca="false">B219-C219</f>
        <v>1900770.5</v>
      </c>
      <c r="E219" s="11" t="n">
        <v>-3029790.075</v>
      </c>
      <c r="F219" s="10" t="n">
        <f aca="false">B219-E219</f>
        <v>4930560.575</v>
      </c>
      <c r="G219" s="10" t="n">
        <f aca="false">AVERAGE(F218:F220)</f>
        <v>4930456.075</v>
      </c>
      <c r="H219" s="11" t="n">
        <f aca="false">E219+G219</f>
        <v>1900666</v>
      </c>
      <c r="I219" s="12" t="n">
        <f aca="false">B219-H219</f>
        <v>104.5</v>
      </c>
      <c r="J219" s="11" t="n">
        <f aca="false">STANDARDIZE(I219,$I$224,$I$228)</f>
        <v>-0.250838841534168</v>
      </c>
      <c r="L219" s="36" t="s">
        <v>80</v>
      </c>
      <c r="M219" s="11" t="n">
        <v>-0.2</v>
      </c>
      <c r="N219" s="11" t="n">
        <f aca="false">COUNTIF(J206:J221,"&lt;"&amp;M219)</f>
        <v>15</v>
      </c>
    </row>
    <row r="220" customFormat="false" ht="15" hidden="false" customHeight="false" outlineLevel="0" collapsed="false">
      <c r="A220" s="10" t="s">
        <v>31</v>
      </c>
      <c r="B220" s="10" t="n">
        <v>1921133.5</v>
      </c>
      <c r="C220" s="11"/>
      <c r="D220" s="10" t="n">
        <f aca="false">B220-C220</f>
        <v>1921133.5</v>
      </c>
      <c r="E220" s="11" t="n">
        <v>-3064703.08125</v>
      </c>
      <c r="F220" s="10" t="n">
        <f aca="false">B220-E220</f>
        <v>4985836.58125</v>
      </c>
      <c r="G220" s="10" t="n">
        <f aca="false">AVERAGE(F219:F221)</f>
        <v>4990073.353125</v>
      </c>
      <c r="H220" s="11" t="n">
        <f aca="false">E220+G220</f>
        <v>1925370.271875</v>
      </c>
      <c r="I220" s="12" t="n">
        <f aca="false">B220-H220</f>
        <v>-4236.77187499963</v>
      </c>
      <c r="J220" s="11" t="n">
        <f aca="false">STANDARDIZE(I220,$I$224,$I$228)</f>
        <v>-0.253094461263327</v>
      </c>
      <c r="L220" s="11" t="n">
        <f aca="false">M219</f>
        <v>-0.2</v>
      </c>
      <c r="M220" s="11" t="n">
        <f aca="false">M219+0.5</f>
        <v>0.3</v>
      </c>
      <c r="N220" s="11" t="n">
        <f aca="false">COUNTIF($J$206:$J$221,"&gt;="&amp;M220)-COUNTIF($J$206:$J$221,"&gt;"&amp;M221)</f>
        <v>0</v>
      </c>
    </row>
    <row r="221" customFormat="false" ht="15" hidden="false" customHeight="false" outlineLevel="0" collapsed="false">
      <c r="A221" s="10" t="s">
        <v>32</v>
      </c>
      <c r="B221" s="10" t="n">
        <v>1921100.2</v>
      </c>
      <c r="C221" s="11"/>
      <c r="D221" s="10" t="n">
        <f aca="false">B221-C221</f>
        <v>1921100.2</v>
      </c>
      <c r="E221" s="11" t="n">
        <v>-3132722.703125</v>
      </c>
      <c r="F221" s="10" t="n">
        <f aca="false">B221-E221</f>
        <v>5053822.903125</v>
      </c>
      <c r="G221" s="10" t="n">
        <f aca="false">AVERAGE(F220:F221)</f>
        <v>5019829.7421875</v>
      </c>
      <c r="H221" s="11" t="n">
        <f aca="false">E221+G221</f>
        <v>1887107.0390625</v>
      </c>
      <c r="I221" s="12" t="n">
        <f aca="false">B221-H221</f>
        <v>33993.1609375</v>
      </c>
      <c r="J221" s="11" t="n">
        <f aca="false">STANDARDIZE(I221,$I$224,$I$228)</f>
        <v>-0.233231114027949</v>
      </c>
      <c r="L221" s="11" t="n">
        <f aca="false">M220</f>
        <v>0.3</v>
      </c>
      <c r="M221" s="11" t="n">
        <f aca="false">M220+0.5</f>
        <v>0.8</v>
      </c>
      <c r="N221" s="11" t="n">
        <f aca="false">COUNTIF($J$206:$J$221,"&gt;="&amp;M221)-COUNTIF($J$206:$J$221,"&gt;"&amp;M222)</f>
        <v>0</v>
      </c>
    </row>
    <row r="222" customFormat="false" ht="15" hidden="false" customHeight="false" outlineLevel="0" collapsed="false">
      <c r="D222" s="23"/>
      <c r="E222" s="23"/>
      <c r="F222" s="23"/>
      <c r="G222" s="23"/>
      <c r="H222" s="23"/>
      <c r="K222" s="23"/>
      <c r="L222" s="11" t="n">
        <f aca="false">M221</f>
        <v>0.8</v>
      </c>
      <c r="M222" s="11" t="n">
        <f aca="false">M221+0.5</f>
        <v>1.3</v>
      </c>
      <c r="N222" s="11" t="n">
        <f aca="false">COUNTIF($J$206:$J$221,"&gt;="&amp;M222)-COUNTIF($J$206:$J$221,"&gt;"&amp;M223)</f>
        <v>0</v>
      </c>
    </row>
    <row r="223" customFormat="false" ht="16.4" hidden="false" customHeight="false" outlineLevel="0" collapsed="false">
      <c r="E223" s="23"/>
      <c r="F223" s="23"/>
      <c r="G223" s="23"/>
      <c r="H223" s="23"/>
      <c r="I223" s="25" t="s">
        <v>47</v>
      </c>
      <c r="J223" s="37" t="s">
        <v>48</v>
      </c>
      <c r="K223" s="23"/>
      <c r="L223" s="11" t="n">
        <f aca="false">M222</f>
        <v>1.3</v>
      </c>
      <c r="M223" s="11" t="n">
        <f aca="false">M222+0.5</f>
        <v>1.8</v>
      </c>
      <c r="N223" s="11" t="n">
        <f aca="false">COUNTIF($J$206:$J$221,"&gt;="&amp;M223)-COUNTIF($J$206:$J$221,"&gt;"&amp;M224)</f>
        <v>0</v>
      </c>
    </row>
    <row r="224" customFormat="false" ht="15" hidden="false" customHeight="false" outlineLevel="0" collapsed="false">
      <c r="E224" s="23"/>
      <c r="F224" s="23"/>
      <c r="G224" s="23"/>
      <c r="H224" s="38" t="s">
        <v>81</v>
      </c>
      <c r="I224" s="57" t="n">
        <f aca="false">AVERAGE(I206:I221)</f>
        <v>482880.738313802</v>
      </c>
      <c r="J224" s="24" t="n">
        <f aca="false">AVERAGE(J206:J221)</f>
        <v>0</v>
      </c>
      <c r="K224" s="23"/>
      <c r="L224" s="11" t="n">
        <f aca="false">M223</f>
        <v>1.8</v>
      </c>
      <c r="M224" s="11" t="n">
        <f aca="false">M223+0.5</f>
        <v>2.3</v>
      </c>
      <c r="N224" s="11" t="n">
        <f aca="false">COUNTIF($J$206:$J$221,"&gt;="&amp;M224)-COUNTIF($J$206:$J$221,"&gt;"&amp;M225)</f>
        <v>0</v>
      </c>
    </row>
    <row r="225" customFormat="false" ht="15" hidden="false" customHeight="false" outlineLevel="0" collapsed="false">
      <c r="E225" s="23"/>
      <c r="F225" s="23"/>
      <c r="G225" s="23"/>
      <c r="H225" s="39" t="s">
        <v>82</v>
      </c>
      <c r="I225" s="40" t="n">
        <f aca="false">VAR(I206:I221)</f>
        <v>3704266296685.48</v>
      </c>
      <c r="J225" s="41" t="n">
        <f aca="false">VAR(J206:J221)</f>
        <v>1</v>
      </c>
      <c r="K225" s="23"/>
      <c r="L225" s="11" t="n">
        <f aca="false">M224</f>
        <v>2.3</v>
      </c>
      <c r="M225" s="11" t="n">
        <f aca="false">M224+0.5</f>
        <v>2.8</v>
      </c>
      <c r="N225" s="11" t="n">
        <f aca="false">COUNTIF($J$206:$J$221,"&gt;="&amp;M225)-COUNTIF($J$206:$J$221,"&gt;"&amp;M226)</f>
        <v>1</v>
      </c>
    </row>
    <row r="226" customFormat="false" ht="15" hidden="false" customHeight="false" outlineLevel="0" collapsed="false">
      <c r="E226" s="23"/>
      <c r="F226" s="23"/>
      <c r="G226" s="23"/>
      <c r="H226" s="35" t="s">
        <v>83</v>
      </c>
      <c r="I226" s="61"/>
      <c r="J226" s="24" t="n">
        <f aca="false">MIN(J206:J221)</f>
        <v>-0.277361633511862</v>
      </c>
      <c r="K226" s="23"/>
      <c r="L226" s="11" t="n">
        <f aca="false">M225</f>
        <v>2.8</v>
      </c>
      <c r="M226" s="36" t="s">
        <v>84</v>
      </c>
      <c r="N226" s="11" t="n">
        <f aca="false">COUNTIF($J$206:$J$221,"&gt;="&amp;M226)-COUNTIF($J$206:$J$221,"&gt;"&amp;M227)</f>
        <v>0</v>
      </c>
    </row>
    <row r="227" customFormat="false" ht="15" hidden="false" customHeight="false" outlineLevel="0" collapsed="false">
      <c r="E227" s="23"/>
      <c r="F227" s="23"/>
      <c r="G227" s="23"/>
      <c r="H227" s="35" t="s">
        <v>85</v>
      </c>
      <c r="I227" s="59"/>
      <c r="J227" s="24" t="n">
        <f aca="false">MAX(J206:J221)</f>
        <v>3.74955980810438</v>
      </c>
      <c r="K227" s="23"/>
      <c r="M227" s="23"/>
    </row>
    <row r="228" customFormat="false" ht="15" hidden="false" customHeight="false" outlineLevel="0" collapsed="false">
      <c r="C228" s="23"/>
      <c r="H228" s="35" t="s">
        <v>86</v>
      </c>
      <c r="I228" s="11" t="n">
        <f aca="false">SQRT(I225)</f>
        <v>1924647.05769278</v>
      </c>
      <c r="J228" s="11"/>
      <c r="K228" s="23"/>
    </row>
    <row r="229" customFormat="false" ht="15" hidden="false" customHeight="false" outlineLevel="0" collapsed="false">
      <c r="C229" s="23"/>
      <c r="H229" s="43"/>
      <c r="K229" s="23"/>
    </row>
    <row r="230" customFormat="false" ht="15" hidden="false" customHeight="false" outlineLevel="0" collapsed="false">
      <c r="C230" s="23"/>
      <c r="H230" s="43"/>
      <c r="K230" s="23"/>
    </row>
    <row r="231" customFormat="false" ht="15" hidden="false" customHeight="false" outlineLevel="0" collapsed="false">
      <c r="C231" s="23"/>
      <c r="H231" s="43"/>
      <c r="K231" s="23"/>
    </row>
    <row r="232" customFormat="false" ht="15" hidden="false" customHeight="false" outlineLevel="0" collapsed="false">
      <c r="A232" s="23"/>
      <c r="B232" s="43" t="s">
        <v>15</v>
      </c>
      <c r="C232" s="43"/>
    </row>
    <row r="233" customFormat="false" ht="16.4" hidden="false" customHeight="false" outlineLevel="0" collapsed="false">
      <c r="A233" s="44" t="s">
        <v>39</v>
      </c>
      <c r="B233" s="45" t="s">
        <v>87</v>
      </c>
      <c r="C233" s="45" t="s">
        <v>88</v>
      </c>
      <c r="D233" s="45" t="s">
        <v>89</v>
      </c>
      <c r="E233" s="45" t="s">
        <v>90</v>
      </c>
      <c r="F233" s="45" t="s">
        <v>91</v>
      </c>
      <c r="G233" s="45" t="s">
        <v>92</v>
      </c>
      <c r="H233" s="45" t="s">
        <v>93</v>
      </c>
      <c r="I233" s="46" t="s">
        <v>94</v>
      </c>
      <c r="J233" s="29" t="s">
        <v>48</v>
      </c>
      <c r="L233" s="47" t="s">
        <v>99</v>
      </c>
      <c r="M233" s="11" t="n">
        <v>2007</v>
      </c>
      <c r="N233" s="11" t="n">
        <v>2008</v>
      </c>
      <c r="O233" s="11" t="n">
        <v>2009</v>
      </c>
      <c r="P233" s="11" t="n">
        <v>2010</v>
      </c>
      <c r="Q233" s="36" t="s">
        <v>96</v>
      </c>
    </row>
    <row r="234" customFormat="false" ht="15" hidden="false" customHeight="false" outlineLevel="0" collapsed="false">
      <c r="A234" s="10" t="s">
        <v>16</v>
      </c>
      <c r="B234" s="10" t="n">
        <v>2822.5</v>
      </c>
      <c r="C234" s="10" t="n">
        <f aca="false">(0.5*B234)+B235+B236+B237+(0.5*B238)/4</f>
        <v>10898.7625</v>
      </c>
      <c r="D234" s="10" t="n">
        <f aca="false">B234-C234</f>
        <v>-8076.2625</v>
      </c>
      <c r="E234" s="10" t="n">
        <v>-7366.109375</v>
      </c>
      <c r="F234" s="10" t="n">
        <f aca="false">B234-E234</f>
        <v>10188.609375</v>
      </c>
      <c r="G234" s="10" t="n">
        <f aca="false">AVERAGE(F234:F235)</f>
        <v>10425.1296875</v>
      </c>
      <c r="H234" s="10" t="n">
        <f aca="false">E234+G234</f>
        <v>3059.0203125</v>
      </c>
      <c r="I234" s="12" t="n">
        <f aca="false">B234-H234</f>
        <v>-236.520312500002</v>
      </c>
      <c r="J234" s="11" t="n">
        <f aca="false">(I234-$I$252)/SQRT($I$253)</f>
        <v>-0.325518266479713</v>
      </c>
      <c r="L234" s="11" t="s">
        <v>52</v>
      </c>
      <c r="M234" s="11" t="n">
        <v>-8076.2625</v>
      </c>
      <c r="N234" s="11" t="n">
        <v>-11579.025</v>
      </c>
      <c r="O234" s="11" t="n">
        <v>-15922.35</v>
      </c>
      <c r="P234" s="11" t="n">
        <v>6113.2</v>
      </c>
      <c r="Q234" s="11" t="n">
        <f aca="false">AVERAGE(M234:P234)</f>
        <v>-7366.109375</v>
      </c>
    </row>
    <row r="235" customFormat="false" ht="15" hidden="false" customHeight="false" outlineLevel="0" collapsed="false">
      <c r="A235" s="10" t="s">
        <v>17</v>
      </c>
      <c r="B235" s="10" t="n">
        <v>3016.2</v>
      </c>
      <c r="C235" s="16" t="n">
        <f aca="false">(0.5*B235)+B236+B237+B238+(0.5*B239)/4</f>
        <v>11239.3125</v>
      </c>
      <c r="D235" s="10" t="n">
        <f aca="false">B235-C235</f>
        <v>-8223.1125</v>
      </c>
      <c r="E235" s="10" t="n">
        <v>-7645.45</v>
      </c>
      <c r="F235" s="10" t="n">
        <f aca="false">B235-E235</f>
        <v>10661.65</v>
      </c>
      <c r="G235" s="10" t="n">
        <f aca="false">AVERAGE(F234:F236)</f>
        <v>10914.2875</v>
      </c>
      <c r="H235" s="10" t="n">
        <f aca="false">E235+G235</f>
        <v>3268.8375</v>
      </c>
      <c r="I235" s="12" t="n">
        <f aca="false">B235-H235</f>
        <v>-252.637500000001</v>
      </c>
      <c r="J235" s="11" t="n">
        <f aca="false">(I235-$I$252)/SQRT($I$253)</f>
        <v>-0.347784280328249</v>
      </c>
      <c r="L235" s="11" t="s">
        <v>58</v>
      </c>
      <c r="M235" s="10" t="n">
        <v>-8223.1125</v>
      </c>
      <c r="N235" s="11" t="n">
        <v>-14273.725</v>
      </c>
      <c r="O235" s="11" t="n">
        <v>-16234.2625</v>
      </c>
      <c r="P235" s="11" t="n">
        <v>8149.3</v>
      </c>
      <c r="Q235" s="10" t="n">
        <f aca="false">AVERAGE(M235:P235)</f>
        <v>-7645.45</v>
      </c>
      <c r="ER235" s="11"/>
      <c r="ES235" s="36"/>
    </row>
    <row r="236" customFormat="false" ht="15" hidden="false" customHeight="false" outlineLevel="0" collapsed="false">
      <c r="A236" s="10" t="s">
        <v>18</v>
      </c>
      <c r="B236" s="10" t="n">
        <v>3018.6</v>
      </c>
      <c r="C236" s="10" t="n">
        <f aca="false">(0.5*B236)+B237+B238+B239+(0.5*B240)/4</f>
        <v>11520.5125</v>
      </c>
      <c r="D236" s="10" t="n">
        <f aca="false">B236-C236</f>
        <v>-8501.9125</v>
      </c>
      <c r="E236" s="10" t="n">
        <v>-8874.003125</v>
      </c>
      <c r="F236" s="10" t="n">
        <f aca="false">B236-E236</f>
        <v>11892.603125</v>
      </c>
      <c r="G236" s="10" t="n">
        <f aca="false">AVERAGE(F235:F237)</f>
        <v>11657.6958333333</v>
      </c>
      <c r="H236" s="10" t="n">
        <f aca="false">E236+G236</f>
        <v>2783.69270833333</v>
      </c>
      <c r="I236" s="12" t="n">
        <f aca="false">B236-H236</f>
        <v>234.907291666666</v>
      </c>
      <c r="J236" s="11" t="n">
        <f aca="false">(I236-$I$252)/SQRT($I$253)</f>
        <v>0.325762458706237</v>
      </c>
      <c r="L236" s="11" t="s">
        <v>64</v>
      </c>
      <c r="M236" s="10" t="n">
        <v>-8501.9125</v>
      </c>
      <c r="N236" s="11" t="n">
        <v>-17019.9625</v>
      </c>
      <c r="O236" s="11" t="n">
        <v>-18180.4375</v>
      </c>
      <c r="P236" s="11" t="n">
        <v>8206.3</v>
      </c>
      <c r="Q236" s="11" t="n">
        <f aca="false">AVERAGE(M236:P236)</f>
        <v>-8874.003125</v>
      </c>
      <c r="ER236" s="11"/>
      <c r="ES236" s="11"/>
    </row>
    <row r="237" customFormat="false" ht="15" hidden="false" customHeight="false" outlineLevel="0" collapsed="false">
      <c r="A237" s="10" t="s">
        <v>19</v>
      </c>
      <c r="B237" s="10" t="n">
        <v>3045.9</v>
      </c>
      <c r="C237" s="11" t="n">
        <f aca="false">(0.5*B237)+B238+B239+B240+(0.5*B241)/4</f>
        <v>12111.6</v>
      </c>
      <c r="D237" s="10" t="n">
        <f aca="false">B237-C237</f>
        <v>-9065.7</v>
      </c>
      <c r="E237" s="10" t="n">
        <v>-9372.934375</v>
      </c>
      <c r="F237" s="10" t="n">
        <f aca="false">B237-E237</f>
        <v>12418.834375</v>
      </c>
      <c r="G237" s="10" t="n">
        <f aca="false">AVERAGE(F236:F238)</f>
        <v>11644.015625</v>
      </c>
      <c r="H237" s="10" t="n">
        <f aca="false">E237+G237</f>
        <v>2271.08125</v>
      </c>
      <c r="I237" s="12" t="n">
        <f aca="false">B237-H237</f>
        <v>774.818750000001</v>
      </c>
      <c r="J237" s="11" t="n">
        <f aca="false">(I237-$I$252)/SQRT($I$253)</f>
        <v>1.07165413541684</v>
      </c>
      <c r="L237" s="11" t="s">
        <v>70</v>
      </c>
      <c r="M237" s="10" t="n">
        <v>-9065.7</v>
      </c>
      <c r="N237" s="11" t="n">
        <v>-16024.425</v>
      </c>
      <c r="O237" s="11" t="n">
        <v>-20496.1125</v>
      </c>
      <c r="P237" s="11" t="n">
        <v>8094.5</v>
      </c>
      <c r="Q237" s="11" t="n">
        <f aca="false">AVERAGE(M237:P237)</f>
        <v>-9372.934375</v>
      </c>
      <c r="ER237" s="11"/>
      <c r="ES237" s="10"/>
    </row>
    <row r="238" customFormat="false" ht="15" hidden="false" customHeight="false" outlineLevel="0" collapsed="false">
      <c r="A238" s="10" t="s">
        <v>20</v>
      </c>
      <c r="B238" s="10" t="n">
        <v>3254.5</v>
      </c>
      <c r="C238" s="11" t="n">
        <f aca="false">(0.5*B238)+B239+B240+B241+(0.5*B242)/4</f>
        <v>14833.525</v>
      </c>
      <c r="D238" s="10" t="n">
        <f aca="false">B238-C238</f>
        <v>-11579.025</v>
      </c>
      <c r="E238" s="10" t="n">
        <v>-7366.109375</v>
      </c>
      <c r="F238" s="10" t="n">
        <f aca="false">B238-E238</f>
        <v>10620.609375</v>
      </c>
      <c r="G238" s="10" t="n">
        <f aca="false">AVERAGE(F237:F239)</f>
        <v>11327.53125</v>
      </c>
      <c r="H238" s="10" t="n">
        <f aca="false">E238+G238</f>
        <v>3961.421875</v>
      </c>
      <c r="I238" s="12" t="n">
        <f aca="false">B238-H238</f>
        <v>-706.921875000001</v>
      </c>
      <c r="J238" s="11" t="n">
        <f aca="false">(I238-$I$252)/SQRT($I$253)</f>
        <v>-0.975381507507262</v>
      </c>
      <c r="ER238" s="11"/>
      <c r="ES238" s="11"/>
    </row>
    <row r="239" customFormat="false" ht="15" hidden="false" customHeight="false" outlineLevel="0" collapsed="false">
      <c r="A239" s="10" t="s">
        <v>21</v>
      </c>
      <c r="B239" s="10" t="n">
        <v>3297.7</v>
      </c>
      <c r="C239" s="10" t="n">
        <f aca="false">(0.5*B239)+B240+B241+B242+(0.5*B243)/4</f>
        <v>17571.425</v>
      </c>
      <c r="D239" s="10" t="n">
        <f aca="false">B239-C239</f>
        <v>-14273.725</v>
      </c>
      <c r="E239" s="10" t="n">
        <v>-7645.45</v>
      </c>
      <c r="F239" s="10" t="n">
        <f aca="false">B239-E239</f>
        <v>10943.15</v>
      </c>
      <c r="G239" s="10" t="n">
        <f aca="false">AVERAGE(F238:F240)</f>
        <v>11247.5541666667</v>
      </c>
      <c r="H239" s="10" t="n">
        <f aca="false">E239+G239</f>
        <v>3602.10416666667</v>
      </c>
      <c r="I239" s="12" t="n">
        <f aca="false">B239-H239</f>
        <v>-304.404166666667</v>
      </c>
      <c r="J239" s="11" t="n">
        <f aca="false">(I239-$I$252)/SQRT($I$253)</f>
        <v>-0.419300313562498</v>
      </c>
      <c r="ER239" s="11"/>
      <c r="ES239" s="11"/>
    </row>
    <row r="240" customFormat="false" ht="15" hidden="false" customHeight="false" outlineLevel="0" collapsed="false">
      <c r="A240" s="10" t="s">
        <v>22</v>
      </c>
      <c r="B240" s="10" t="n">
        <v>3304.9</v>
      </c>
      <c r="C240" s="10" t="n">
        <f aca="false">(0.5*B240)+B241+B242+B243+(0.5*B244)/4</f>
        <v>20324.8625</v>
      </c>
      <c r="D240" s="10" t="n">
        <f aca="false">B240-C240</f>
        <v>-17019.9625</v>
      </c>
      <c r="E240" s="10" t="n">
        <v>-8874.003125</v>
      </c>
      <c r="F240" s="10" t="n">
        <f aca="false">B240-E240</f>
        <v>12178.903125</v>
      </c>
      <c r="G240" s="10" t="n">
        <f aca="false">AVERAGE(F239:F241)</f>
        <v>12782.4625</v>
      </c>
      <c r="H240" s="10" t="n">
        <f aca="false">E240+G240</f>
        <v>3908.459375</v>
      </c>
      <c r="I240" s="12" t="n">
        <f aca="false">B240-H240</f>
        <v>-603.559375</v>
      </c>
      <c r="J240" s="11" t="n">
        <f aca="false">(I240-$I$252)/SQRT($I$253)</f>
        <v>-0.83258544855346</v>
      </c>
    </row>
    <row r="241" customFormat="false" ht="16.4" hidden="false" customHeight="false" outlineLevel="0" collapsed="false">
      <c r="A241" s="10" t="s">
        <v>23</v>
      </c>
      <c r="B241" s="10" t="n">
        <v>5852.4</v>
      </c>
      <c r="C241" s="10" t="n">
        <f aca="false">(0.5*B241)+B242+B243+B244+(0.5*B245)/4</f>
        <v>21876.825</v>
      </c>
      <c r="D241" s="10" t="n">
        <f aca="false">B241-C241</f>
        <v>-16024.425</v>
      </c>
      <c r="E241" s="10" t="n">
        <v>-9372.934375</v>
      </c>
      <c r="F241" s="10" t="n">
        <f aca="false">B241-E241</f>
        <v>15225.334375</v>
      </c>
      <c r="G241" s="10" t="n">
        <f aca="false">AVERAGE(F240:F242)</f>
        <v>13593.515625</v>
      </c>
      <c r="H241" s="10" t="n">
        <f aca="false">E241+G241</f>
        <v>4220.58125</v>
      </c>
      <c r="I241" s="12" t="n">
        <f aca="false">B241-H241</f>
        <v>1631.81875</v>
      </c>
      <c r="J241" s="11" t="n">
        <f aca="false">(I241-$I$252)/SQRT($I$253)</f>
        <v>2.25560597988081</v>
      </c>
      <c r="L241" s="62" t="s">
        <v>100</v>
      </c>
      <c r="M241" s="9" t="n">
        <f aca="false">_xlfn.STDEV.P(G20:G35)</f>
        <v>1952.68867749341</v>
      </c>
    </row>
    <row r="242" customFormat="false" ht="15" hidden="false" customHeight="false" outlineLevel="0" collapsed="false">
      <c r="A242" s="10" t="s">
        <v>25</v>
      </c>
      <c r="B242" s="10" t="n">
        <v>6010.2</v>
      </c>
      <c r="C242" s="11" t="n">
        <f aca="false">(0.5*B242)+B243+B244+B245+(0.5*B246)/4</f>
        <v>21932.55</v>
      </c>
      <c r="D242" s="10" t="n">
        <f aca="false">B242-C242</f>
        <v>-15922.35</v>
      </c>
      <c r="E242" s="10" t="n">
        <v>-7366.109375</v>
      </c>
      <c r="F242" s="10" t="n">
        <f aca="false">B242-E242</f>
        <v>13376.309375</v>
      </c>
      <c r="G242" s="10" t="n">
        <f aca="false">AVERAGE(F241:F243)</f>
        <v>14095.8979166667</v>
      </c>
      <c r="H242" s="10" t="n">
        <f aca="false">E242+G242</f>
        <v>6729.78854166667</v>
      </c>
      <c r="I242" s="12" t="n">
        <f aca="false">B242-H242</f>
        <v>-719.588541666668</v>
      </c>
      <c r="J242" s="11" t="n">
        <f aca="false">(I242-$I$252)/SQRT($I$253)</f>
        <v>-0.99288060127997</v>
      </c>
      <c r="L242" s="23"/>
    </row>
    <row r="243" customFormat="false" ht="15" hidden="false" customHeight="false" outlineLevel="0" collapsed="false">
      <c r="A243" s="10" t="s">
        <v>26</v>
      </c>
      <c r="B243" s="10" t="n">
        <v>6040.6</v>
      </c>
      <c r="C243" s="10" t="n">
        <f aca="false">(0.5*B243)+B244+B245+B246+(0.5*B247)/4</f>
        <v>22274.8625</v>
      </c>
      <c r="D243" s="10" t="n">
        <f aca="false">B243-C243</f>
        <v>-16234.2625</v>
      </c>
      <c r="E243" s="10" t="n">
        <v>-7645.45</v>
      </c>
      <c r="F243" s="10" t="n">
        <f aca="false">B243-E243</f>
        <v>13686.05</v>
      </c>
      <c r="G243" s="10" t="n">
        <f aca="false">AVERAGE(F242:F244)</f>
        <v>14030.0208333333</v>
      </c>
      <c r="H243" s="10" t="n">
        <f aca="false">E243+G243</f>
        <v>6384.57083333333</v>
      </c>
      <c r="I243" s="12" t="n">
        <f aca="false">B243-H243</f>
        <v>-343.970833333334</v>
      </c>
      <c r="J243" s="11" t="n">
        <f aca="false">(I243-$I$252)/SQRT($I$253)</f>
        <v>-0.473961956478824</v>
      </c>
      <c r="L243" s="23"/>
    </row>
    <row r="244" customFormat="false" ht="16.4" hidden="false" customHeight="false" outlineLevel="0" collapsed="false">
      <c r="A244" s="10" t="s">
        <v>27</v>
      </c>
      <c r="B244" s="10" t="n">
        <v>6153.7</v>
      </c>
      <c r="C244" s="10" t="n">
        <f aca="false">(0.5*B244)+B245+B246+B247+(0.5*B248)/4</f>
        <v>24334.1375</v>
      </c>
      <c r="D244" s="10" t="n">
        <f aca="false">B244-C244</f>
        <v>-18180.4375</v>
      </c>
      <c r="E244" s="10" t="n">
        <v>-8874.003125</v>
      </c>
      <c r="F244" s="10" t="n">
        <f aca="false">B244-E244</f>
        <v>15027.703125</v>
      </c>
      <c r="G244" s="10" t="n">
        <f aca="false">AVERAGE(F243:F245)</f>
        <v>14685.2291666667</v>
      </c>
      <c r="H244" s="10" t="n">
        <f aca="false">E244+G244</f>
        <v>5811.22604166667</v>
      </c>
      <c r="I244" s="12" t="n">
        <f aca="false">B244-H244</f>
        <v>342.473958333333</v>
      </c>
      <c r="J244" s="11" t="n">
        <f aca="false">(I244-$I$252)/SQRT($I$253)</f>
        <v>0.47436660503394</v>
      </c>
      <c r="L244" s="33" t="s">
        <v>76</v>
      </c>
      <c r="M244" s="34" t="n">
        <f aca="false">(G35/G20)^(1/15)-1</f>
        <v>0.0727628822540301</v>
      </c>
    </row>
    <row r="245" customFormat="false" ht="15" hidden="false" customHeight="false" outlineLevel="0" collapsed="false">
      <c r="A245" s="10" t="s">
        <v>28</v>
      </c>
      <c r="B245" s="10" t="n">
        <v>5969</v>
      </c>
      <c r="C245" s="10" t="n">
        <f aca="false">(0.5*B245)+B246+B247+B248+(0.5*B249)/4</f>
        <v>26465.1125</v>
      </c>
      <c r="D245" s="10" t="n">
        <f aca="false">B245-C245</f>
        <v>-20496.1125</v>
      </c>
      <c r="E245" s="10" t="n">
        <v>-9372.934375</v>
      </c>
      <c r="F245" s="10" t="n">
        <f aca="false">B245-E245</f>
        <v>15341.934375</v>
      </c>
      <c r="G245" s="10" t="n">
        <f aca="false">AVERAGE(F244:F246)</f>
        <v>14616.315625</v>
      </c>
      <c r="H245" s="10" t="n">
        <f aca="false">E245+G245</f>
        <v>5243.38125</v>
      </c>
      <c r="I245" s="12" t="n">
        <f aca="false">B245-H245</f>
        <v>725.61875</v>
      </c>
      <c r="J245" s="11" t="n">
        <f aca="false">(I245-$I$252)/SQRT($I$253)</f>
        <v>1.0036839711839</v>
      </c>
    </row>
    <row r="246" customFormat="false" ht="16.4" hidden="false" customHeight="false" outlineLevel="0" collapsed="false">
      <c r="A246" s="10" t="s">
        <v>29</v>
      </c>
      <c r="B246" s="10" t="n">
        <v>6113.2</v>
      </c>
      <c r="C246" s="11"/>
      <c r="D246" s="10" t="n">
        <f aca="false">B246-C246</f>
        <v>6113.2</v>
      </c>
      <c r="E246" s="10" t="n">
        <v>-7366.109375</v>
      </c>
      <c r="F246" s="10" t="n">
        <f aca="false">B246-E246</f>
        <v>13479.309375</v>
      </c>
      <c r="G246" s="10" t="n">
        <f aca="false">AVERAGE(F245:F247)</f>
        <v>14871.9979166667</v>
      </c>
      <c r="H246" s="10" t="n">
        <f aca="false">E246+G246</f>
        <v>7505.88854166667</v>
      </c>
      <c r="I246" s="12" t="n">
        <f aca="false">B246-H246</f>
        <v>-1392.68854166667</v>
      </c>
      <c r="J246" s="11" t="n">
        <f aca="false">(I246-$I$252)/SQRT($I$253)</f>
        <v>-1.92277323431229</v>
      </c>
      <c r="L246" s="35" t="s">
        <v>77</v>
      </c>
      <c r="M246" s="35" t="s">
        <v>78</v>
      </c>
      <c r="N246" s="35" t="s">
        <v>79</v>
      </c>
    </row>
    <row r="247" customFormat="false" ht="15" hidden="false" customHeight="false" outlineLevel="0" collapsed="false">
      <c r="A247" s="10" t="s">
        <v>30</v>
      </c>
      <c r="B247" s="10" t="n">
        <v>8149.3</v>
      </c>
      <c r="C247" s="11"/>
      <c r="D247" s="10" t="n">
        <f aca="false">B247-C247</f>
        <v>8149.3</v>
      </c>
      <c r="E247" s="10" t="n">
        <v>-7645.45</v>
      </c>
      <c r="F247" s="10" t="n">
        <f aca="false">B247-E247</f>
        <v>15794.75</v>
      </c>
      <c r="G247" s="10" t="n">
        <f aca="false">AVERAGE(F246:F248)</f>
        <v>15451.4541666667</v>
      </c>
      <c r="H247" s="10" t="n">
        <f aca="false">E247+G247</f>
        <v>7806.00416666667</v>
      </c>
      <c r="I247" s="12" t="n">
        <f aca="false">B247-H247</f>
        <v>343.295833333335</v>
      </c>
      <c r="J247" s="11" t="n">
        <f aca="false">(I247-$I$252)/SQRT($I$253)</f>
        <v>0.475502031430873</v>
      </c>
      <c r="L247" s="36" t="s">
        <v>80</v>
      </c>
      <c r="M247" s="11" t="n">
        <v>-1.9</v>
      </c>
      <c r="N247" s="11" t="n">
        <f aca="false">COUNTIF(J234:J249,"&lt;"&amp;M247)</f>
        <v>1</v>
      </c>
    </row>
    <row r="248" customFormat="false" ht="15" hidden="false" customHeight="false" outlineLevel="0" collapsed="false">
      <c r="A248" s="10" t="s">
        <v>31</v>
      </c>
      <c r="B248" s="10" t="n">
        <v>8206.3</v>
      </c>
      <c r="C248" s="11"/>
      <c r="D248" s="10" t="n">
        <f aca="false">B248-C248</f>
        <v>8206.3</v>
      </c>
      <c r="E248" s="10" t="n">
        <v>-8874.003125</v>
      </c>
      <c r="F248" s="10" t="n">
        <f aca="false">B248-E248</f>
        <v>17080.303125</v>
      </c>
      <c r="G248" s="10" t="n">
        <f aca="false">AVERAGE(F247:F249)</f>
        <v>16780.8291666667</v>
      </c>
      <c r="H248" s="10" t="n">
        <f aca="false">E248+G248</f>
        <v>7906.82604166667</v>
      </c>
      <c r="I248" s="12" t="n">
        <f aca="false">B248-H248</f>
        <v>299.473958333332</v>
      </c>
      <c r="J248" s="11" t="n">
        <f aca="false">(I248-$I$252)/SQRT($I$253)</f>
        <v>0.414961786700274</v>
      </c>
      <c r="L248" s="11" t="n">
        <f aca="false">M247</f>
        <v>-1.9</v>
      </c>
      <c r="M248" s="11" t="n">
        <f aca="false">M247+0.5</f>
        <v>-1.4</v>
      </c>
      <c r="N248" s="11" t="n">
        <f aca="false">COUNTIF($J$234:$J$249,"&gt;="&amp;M248)-COUNTIF($J$234:$J$249,"&gt;"&amp;M249)</f>
        <v>2</v>
      </c>
    </row>
    <row r="249" customFormat="false" ht="15" hidden="false" customHeight="false" outlineLevel="0" collapsed="false">
      <c r="A249" s="10" t="s">
        <v>32</v>
      </c>
      <c r="B249" s="10" t="n">
        <v>8094.5</v>
      </c>
      <c r="C249" s="11"/>
      <c r="D249" s="10" t="n">
        <f aca="false">B249-C249</f>
        <v>8094.5</v>
      </c>
      <c r="E249" s="10" t="n">
        <v>-9372.934375</v>
      </c>
      <c r="F249" s="10" t="n">
        <f aca="false">B249-E249</f>
        <v>17467.434375</v>
      </c>
      <c r="G249" s="10" t="n">
        <f aca="false">AVERAGE(F248:F249)</f>
        <v>17273.86875</v>
      </c>
      <c r="H249" s="10" t="n">
        <f aca="false">E249+G249</f>
        <v>7900.934375</v>
      </c>
      <c r="I249" s="12" t="n">
        <f aca="false">B249-H249</f>
        <v>193.565624999999</v>
      </c>
      <c r="J249" s="11" t="n">
        <f aca="false">(I249-$I$252)/SQRT($I$253)</f>
        <v>0.268648640149393</v>
      </c>
      <c r="L249" s="11" t="n">
        <f aca="false">M248</f>
        <v>-1.4</v>
      </c>
      <c r="M249" s="11" t="n">
        <f aca="false">M248+0.5</f>
        <v>-0.9</v>
      </c>
      <c r="N249" s="11" t="n">
        <f aca="false">COUNTIF($J$234:$J$249,"&gt;="&amp;M249)-COUNTIF($J$234:$J$249,"&gt;"&amp;M250)</f>
        <v>3</v>
      </c>
    </row>
    <row r="250" customFormat="false" ht="15" hidden="false" customHeight="false" outlineLevel="0" collapsed="false">
      <c r="L250" s="11" t="n">
        <f aca="false">M249</f>
        <v>-0.9</v>
      </c>
      <c r="M250" s="11" t="n">
        <f aca="false">M249+0.5</f>
        <v>-0.4</v>
      </c>
      <c r="N250" s="11" t="n">
        <f aca="false">COUNTIF($J$234:$J$249,"&gt;="&amp;M250)-COUNTIF($J$234:$J$249,"&gt;"&amp;M251)</f>
        <v>2</v>
      </c>
    </row>
    <row r="251" customFormat="false" ht="16.4" hidden="false" customHeight="false" outlineLevel="0" collapsed="false">
      <c r="I251" s="25" t="s">
        <v>47</v>
      </c>
      <c r="J251" s="37" t="s">
        <v>48</v>
      </c>
      <c r="L251" s="11" t="n">
        <f aca="false">M250</f>
        <v>-0.4</v>
      </c>
      <c r="M251" s="11" t="n">
        <f aca="false">M250+0.5</f>
        <v>0.1</v>
      </c>
      <c r="N251" s="11" t="n">
        <f aca="false">COUNTIF($J$234:$J$249,"&gt;="&amp;M251)-COUNTIF($J$234:$J$249,"&gt;"&amp;M252)</f>
        <v>5</v>
      </c>
    </row>
    <row r="252" customFormat="false" ht="15" hidden="false" customHeight="false" outlineLevel="0" collapsed="false">
      <c r="H252" s="38" t="s">
        <v>81</v>
      </c>
      <c r="I252" s="10" t="n">
        <f aca="false">AVERAGE(I234:I249)</f>
        <v>-0.894889322917123</v>
      </c>
      <c r="J252" s="10" t="n">
        <f aca="false">AVERAGE(J234:J249)</f>
        <v>4.5102810375397E-017</v>
      </c>
      <c r="L252" s="11" t="n">
        <f aca="false">M251</f>
        <v>0.1</v>
      </c>
      <c r="M252" s="11" t="n">
        <f aca="false">M251+0.5</f>
        <v>0.6</v>
      </c>
      <c r="N252" s="11" t="n">
        <f aca="false">COUNTIF($J$234:$J$249,"&gt;="&amp;M252)-COUNTIF($J$234:$J$249,"&gt;"&amp;M253)</f>
        <v>2</v>
      </c>
    </row>
    <row r="253" customFormat="false" ht="15" hidden="false" customHeight="false" outlineLevel="0" collapsed="false">
      <c r="H253" s="39" t="s">
        <v>82</v>
      </c>
      <c r="I253" s="51" t="n">
        <f aca="false">VAR(I234:I249)</f>
        <v>523954.490707691</v>
      </c>
      <c r="J253" s="51" t="n">
        <f aca="false">VAR(J234:J249)</f>
        <v>1</v>
      </c>
      <c r="L253" s="11" t="n">
        <f aca="false">M252</f>
        <v>0.6</v>
      </c>
      <c r="M253" s="11" t="n">
        <f aca="false">M252+0.5</f>
        <v>1.1</v>
      </c>
      <c r="N253" s="11" t="n">
        <f aca="false">COUNTIF($J$234:$J$249,"&gt;="&amp;M253)-COUNTIF($J$234:$J$249,"&gt;"&amp;M254)</f>
        <v>1</v>
      </c>
    </row>
    <row r="254" customFormat="false" ht="15" hidden="false" customHeight="false" outlineLevel="0" collapsed="false">
      <c r="H254" s="35" t="s">
        <v>83</v>
      </c>
      <c r="I254" s="11"/>
      <c r="J254" s="11" t="n">
        <f aca="false">MIN(J234:J249)</f>
        <v>-1.92277323431229</v>
      </c>
      <c r="L254" s="11" t="n">
        <f aca="false">M253</f>
        <v>1.1</v>
      </c>
      <c r="M254" s="36" t="s">
        <v>84</v>
      </c>
      <c r="N254" s="11" t="n">
        <f aca="false">COUNTIF($J$234:$J$249,"&gt;="&amp;M254)-COUNTIF($J$234:$J$249,"&gt;"&amp;M255)</f>
        <v>0</v>
      </c>
    </row>
    <row r="255" customFormat="false" ht="15" hidden="false" customHeight="false" outlineLevel="0" collapsed="false">
      <c r="H255" s="35" t="s">
        <v>85</v>
      </c>
      <c r="I255" s="11"/>
      <c r="J255" s="11" t="n">
        <f aca="false">MAX(J234:J249)</f>
        <v>2.25560597988081</v>
      </c>
    </row>
    <row r="256" customFormat="false" ht="15" hidden="false" customHeight="false" outlineLevel="0" collapsed="false">
      <c r="H256" s="35" t="s">
        <v>86</v>
      </c>
      <c r="I256" s="11" t="n">
        <f aca="false">SQRT(I253)</f>
        <v>723.847007804613</v>
      </c>
      <c r="J256" s="11"/>
    </row>
    <row r="262" customFormat="false" ht="15" hidden="false" customHeight="false" outlineLevel="0" collapsed="false">
      <c r="A262" s="0" t="s">
        <v>101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18"/>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V25" activeCellId="0" sqref="1:1048576"/>
    </sheetView>
  </sheetViews>
  <sheetFormatPr defaultColWidth="8.59765625" defaultRowHeight="15" customHeight="false" zeroHeight="false" outlineLevelRow="0" outlineLevelCol="0"/>
  <cols>
    <col collapsed="false" customWidth="true" hidden="false" outlineLevel="0" max="1" min="1" style="0" width="29.43"/>
    <col collapsed="false" customWidth="true" hidden="false" outlineLevel="0" max="2" min="2" style="0" width="13.29"/>
  </cols>
  <sheetData>
    <row r="1" customFormat="false" ht="15" hidden="false" customHeight="false" outlineLevel="0" collapsed="false">
      <c r="A1" s="63" t="s">
        <v>102</v>
      </c>
    </row>
    <row r="3" customFormat="false" ht="12.75" hidden="false" customHeight="true" outlineLevel="0" collapsed="false">
      <c r="A3" s="64" t="s">
        <v>103</v>
      </c>
    </row>
    <row r="4" customFormat="false" ht="14.25" hidden="false" customHeight="true" outlineLevel="0" collapsed="false"/>
    <row r="5" customFormat="false" ht="15" hidden="false" customHeight="false" outlineLevel="0" collapsed="false">
      <c r="A5" s="65"/>
    </row>
    <row r="30" customFormat="false" ht="15" hidden="false" customHeight="false" outlineLevel="0" collapsed="false">
      <c r="A30" s="66" t="s">
        <v>104</v>
      </c>
    </row>
    <row r="40" customFormat="false" ht="15" hidden="false" customHeight="false" outlineLevel="0" collapsed="false">
      <c r="A40" s="66" t="s">
        <v>105</v>
      </c>
    </row>
    <row r="42" customFormat="false" ht="15" hidden="false" customHeight="false" outlineLevel="0" collapsed="false">
      <c r="A42" s="67" t="s">
        <v>106</v>
      </c>
    </row>
    <row r="44" customFormat="false" ht="15" hidden="false" customHeight="false" outlineLevel="0" collapsed="false">
      <c r="A44" s="68"/>
    </row>
    <row r="50" customFormat="false" ht="15" hidden="false" customHeight="false" outlineLevel="0" collapsed="false">
      <c r="A50" s="67" t="s">
        <v>107</v>
      </c>
    </row>
    <row r="52" customFormat="false" ht="15.75" hidden="false" customHeight="true" outlineLevel="0" collapsed="false"/>
    <row r="53" customFormat="false" ht="13.5" hidden="false" customHeight="true" outlineLevel="0" collapsed="false"/>
    <row r="58" customFormat="false" ht="15" hidden="false" customHeight="false" outlineLevel="0" collapsed="false">
      <c r="A58" s="68"/>
    </row>
    <row r="59" customFormat="false" ht="15" hidden="false" customHeight="false" outlineLevel="0" collapsed="false">
      <c r="A59" s="68"/>
    </row>
    <row r="60" customFormat="false" ht="15" hidden="false" customHeight="false" outlineLevel="0" collapsed="false">
      <c r="A60" s="68"/>
    </row>
    <row r="61" customFormat="false" ht="15" hidden="false" customHeight="false" outlineLevel="0" collapsed="false">
      <c r="A61" s="68"/>
    </row>
    <row r="62" customFormat="false" ht="15" hidden="false" customHeight="false" outlineLevel="0" collapsed="false">
      <c r="A62" s="68"/>
    </row>
    <row r="63" customFormat="false" ht="15" hidden="false" customHeight="false" outlineLevel="0" collapsed="false">
      <c r="A63" s="68"/>
    </row>
    <row r="64" customFormat="false" ht="15" hidden="false" customHeight="false" outlineLevel="0" collapsed="false">
      <c r="A64" s="68"/>
    </row>
    <row r="65" customFormat="false" ht="15" hidden="false" customHeight="false" outlineLevel="0" collapsed="false">
      <c r="A65" s="68"/>
      <c r="P65" s="69"/>
    </row>
    <row r="66" customFormat="false" ht="15" hidden="false" customHeight="false" outlineLevel="0" collapsed="false">
      <c r="A66" s="70"/>
    </row>
    <row r="83" customFormat="false" ht="15" hidden="false" customHeight="false" outlineLevel="0" collapsed="false">
      <c r="A83" s="68"/>
    </row>
    <row r="84" customFormat="false" ht="15" hidden="false" customHeight="false" outlineLevel="0" collapsed="false">
      <c r="A84" s="71"/>
    </row>
    <row r="94" customFormat="false" ht="15" hidden="false" customHeight="false" outlineLevel="0" collapsed="false">
      <c r="A94" s="68"/>
    </row>
    <row r="101" customFormat="false" ht="15" hidden="false" customHeight="false" outlineLevel="0" collapsed="false">
      <c r="A101" s="68"/>
    </row>
    <row r="105" customFormat="false" ht="15" hidden="false" customHeight="false" outlineLevel="0" collapsed="false">
      <c r="A105" s="68"/>
    </row>
    <row r="106" customFormat="false" ht="15" hidden="false" customHeight="false" outlineLevel="0" collapsed="false">
      <c r="A106" s="68"/>
    </row>
    <row r="107" customFormat="false" ht="15" hidden="false" customHeight="false" outlineLevel="0" collapsed="false">
      <c r="A107" s="68"/>
    </row>
    <row r="108" customFormat="false" ht="15" hidden="false" customHeight="false" outlineLevel="0" collapsed="false">
      <c r="A108" s="68"/>
    </row>
    <row r="109" customFormat="false" ht="15" hidden="false" customHeight="false" outlineLevel="0" collapsed="false">
      <c r="A109" s="68"/>
    </row>
    <row r="110" customFormat="false" ht="15" hidden="false" customHeight="false" outlineLevel="0" collapsed="false">
      <c r="A110" s="68"/>
    </row>
    <row r="111" customFormat="false" ht="15" hidden="false" customHeight="false" outlineLevel="0" collapsed="false">
      <c r="A111" s="68"/>
    </row>
    <row r="112" customFormat="false" ht="15" hidden="false" customHeight="false" outlineLevel="0" collapsed="false">
      <c r="A112" s="68"/>
    </row>
    <row r="113" customFormat="false" ht="15" hidden="false" customHeight="false" outlineLevel="0" collapsed="false">
      <c r="A113" s="68"/>
    </row>
    <row r="114" customFormat="false" ht="15" hidden="false" customHeight="false" outlineLevel="0" collapsed="false">
      <c r="A114" s="68"/>
    </row>
    <row r="118" customFormat="false" ht="15" hidden="false" customHeight="false" outlineLevel="0" collapsed="false">
      <c r="A118" s="6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B1" activeCellId="0" sqref="1:1048576"/>
    </sheetView>
  </sheetViews>
  <sheetFormatPr defaultColWidth="8.59765625" defaultRowHeight="15" customHeight="false" zeroHeight="false" outlineLevelRow="0" outlineLevelCol="0"/>
  <cols>
    <col collapsed="false" customWidth="true" hidden="false" outlineLevel="0" max="1" min="1" style="0" width="16.14"/>
    <col collapsed="false" customWidth="true" hidden="false" outlineLevel="0" max="2" min="2" style="0" width="16.43"/>
    <col collapsed="false" customWidth="true" hidden="false" outlineLevel="0" max="3" min="3" style="0" width="43"/>
    <col collapsed="false" customWidth="true" hidden="false" outlineLevel="0" max="4" min="4" style="0" width="43.15"/>
    <col collapsed="false" customWidth="true" hidden="false" outlineLevel="0" max="5" min="5" style="0" width="26.86"/>
    <col collapsed="false" customWidth="true" hidden="false" outlineLevel="0" max="6" min="6" style="0" width="27.72"/>
    <col collapsed="false" customWidth="true" hidden="false" outlineLevel="0" max="7" min="7" style="0" width="21.14"/>
    <col collapsed="false" customWidth="true" hidden="false" outlineLevel="0" max="8" min="8" style="0" width="36.29"/>
  </cols>
  <sheetData>
    <row r="1" customFormat="false" ht="16.4" hidden="false" customHeight="false" outlineLevel="0" collapsed="false">
      <c r="A1" s="72" t="s">
        <v>108</v>
      </c>
      <c r="B1" s="73" t="s">
        <v>109</v>
      </c>
      <c r="C1" s="74" t="s">
        <v>110</v>
      </c>
      <c r="D1" s="75" t="s">
        <v>111</v>
      </c>
      <c r="E1" s="76" t="s">
        <v>112</v>
      </c>
      <c r="F1" s="75" t="s">
        <v>113</v>
      </c>
      <c r="G1" s="75" t="s">
        <v>114</v>
      </c>
      <c r="H1" s="77" t="s">
        <v>115</v>
      </c>
    </row>
    <row r="2" customFormat="false" ht="15" hidden="false" customHeight="false" outlineLevel="0" collapsed="false">
      <c r="A2" s="78" t="s">
        <v>116</v>
      </c>
      <c r="B2" s="79" t="n">
        <v>56689</v>
      </c>
      <c r="C2" s="80" t="n">
        <v>166323</v>
      </c>
      <c r="D2" s="81" t="n">
        <v>36.9</v>
      </c>
      <c r="E2" s="80" t="n">
        <v>1434</v>
      </c>
      <c r="F2" s="80" t="n">
        <v>2413205</v>
      </c>
      <c r="G2" s="82" t="n">
        <v>39640</v>
      </c>
      <c r="H2" s="83" t="n">
        <v>3918</v>
      </c>
    </row>
    <row r="3" customFormat="false" ht="15" hidden="false" customHeight="false" outlineLevel="0" collapsed="false">
      <c r="A3" s="84" t="s">
        <v>117</v>
      </c>
      <c r="B3" s="79" t="n">
        <v>89794</v>
      </c>
      <c r="C3" s="80" t="n">
        <v>146626</v>
      </c>
      <c r="D3" s="85" t="n">
        <v>37.1</v>
      </c>
      <c r="E3" s="80" t="n">
        <v>2397</v>
      </c>
      <c r="F3" s="80" t="n">
        <v>2786902</v>
      </c>
      <c r="G3" s="82" t="n">
        <v>36860</v>
      </c>
      <c r="H3" s="83" t="n">
        <v>4468</v>
      </c>
    </row>
    <row r="4" customFormat="false" ht="15" hidden="false" customHeight="false" outlineLevel="0" collapsed="false">
      <c r="A4" s="84" t="s">
        <v>118</v>
      </c>
      <c r="B4" s="79" t="n">
        <v>29470</v>
      </c>
      <c r="C4" s="80" t="n">
        <v>25223</v>
      </c>
      <c r="D4" s="85" t="n">
        <v>40.9</v>
      </c>
      <c r="E4" s="80" t="n">
        <v>3124</v>
      </c>
      <c r="F4" s="80" t="n">
        <v>2179937</v>
      </c>
      <c r="G4" s="82" t="n">
        <v>6560</v>
      </c>
      <c r="H4" s="83" t="n">
        <v>2934</v>
      </c>
    </row>
    <row r="5" customFormat="false" ht="15" hidden="false" customHeight="false" outlineLevel="0" collapsed="false">
      <c r="A5" s="84" t="s">
        <v>119</v>
      </c>
      <c r="B5" s="79" t="n">
        <v>29651</v>
      </c>
      <c r="C5" s="80" t="n">
        <v>11706</v>
      </c>
      <c r="D5" s="85" t="n">
        <v>39.7</v>
      </c>
      <c r="E5" s="80" t="n">
        <v>1022</v>
      </c>
      <c r="F5" s="80" t="n">
        <v>1228020</v>
      </c>
      <c r="G5" s="82" t="n">
        <v>10810</v>
      </c>
      <c r="H5" s="83" t="n">
        <v>1513</v>
      </c>
    </row>
    <row r="6" customFormat="false" ht="15" hidden="false" customHeight="false" outlineLevel="0" collapsed="false">
      <c r="A6" s="84" t="s">
        <v>120</v>
      </c>
      <c r="B6" s="79" t="n">
        <v>17183</v>
      </c>
      <c r="C6" s="80" t="n">
        <v>15183</v>
      </c>
      <c r="D6" s="85" t="n">
        <v>39.6</v>
      </c>
      <c r="E6" s="85" t="n">
        <v>192</v>
      </c>
      <c r="F6" s="80" t="n">
        <v>157454</v>
      </c>
      <c r="G6" s="82" t="n">
        <v>21220</v>
      </c>
      <c r="H6" s="83" t="n">
        <v>348</v>
      </c>
    </row>
    <row r="7" customFormat="false" ht="15" hidden="false" customHeight="false" outlineLevel="0" collapsed="false">
      <c r="A7" s="84" t="s">
        <v>121</v>
      </c>
      <c r="B7" s="79" t="n">
        <v>25684</v>
      </c>
      <c r="C7" s="80" t="n">
        <v>29602</v>
      </c>
      <c r="D7" s="85" t="n">
        <v>40.7</v>
      </c>
      <c r="E7" s="80" t="n">
        <v>1342</v>
      </c>
      <c r="F7" s="80" t="n">
        <v>2931615</v>
      </c>
      <c r="G7" s="82" t="n">
        <v>16230</v>
      </c>
      <c r="H7" s="83" t="n">
        <v>4913</v>
      </c>
    </row>
    <row r="8" customFormat="false" ht="15" hidden="false" customHeight="false" outlineLevel="0" collapsed="false">
      <c r="A8" s="84" t="s">
        <v>122</v>
      </c>
      <c r="B8" s="79" t="n">
        <v>44625</v>
      </c>
      <c r="C8" s="80" t="n">
        <v>78492</v>
      </c>
      <c r="D8" s="85" t="n">
        <v>33.9</v>
      </c>
      <c r="E8" s="80" t="n">
        <v>1045</v>
      </c>
      <c r="F8" s="80" t="n">
        <v>1539560</v>
      </c>
      <c r="G8" s="82" t="n">
        <v>47900</v>
      </c>
      <c r="H8" s="83" t="n">
        <v>2488</v>
      </c>
    </row>
    <row r="9" customFormat="false" ht="15" hidden="false" customHeight="false" outlineLevel="0" collapsed="false">
      <c r="A9" s="84" t="s">
        <v>123</v>
      </c>
      <c r="B9" s="79" t="n">
        <v>13003</v>
      </c>
      <c r="C9" s="80" t="n">
        <v>15413</v>
      </c>
      <c r="D9" s="85" t="n">
        <v>39</v>
      </c>
      <c r="E9" s="85" t="n">
        <v>307</v>
      </c>
      <c r="F9" s="80" t="n">
        <v>416841</v>
      </c>
      <c r="G9" s="82" t="n">
        <v>16000</v>
      </c>
      <c r="H9" s="83" t="n">
        <v>606</v>
      </c>
    </row>
    <row r="10" customFormat="false" ht="15" hidden="false" customHeight="false" outlineLevel="0" collapsed="false">
      <c r="A10" s="84" t="s">
        <v>124</v>
      </c>
      <c r="B10" s="79" t="n">
        <v>16305</v>
      </c>
      <c r="C10" s="80" t="n">
        <v>28746</v>
      </c>
      <c r="D10" s="85" t="n">
        <v>37.2</v>
      </c>
      <c r="E10" s="85" t="n">
        <v>910</v>
      </c>
      <c r="F10" s="80" t="n">
        <v>1540972</v>
      </c>
      <c r="G10" s="82" t="n">
        <v>38350</v>
      </c>
      <c r="H10" s="83" t="n">
        <v>2269</v>
      </c>
    </row>
    <row r="11" customFormat="false" ht="15" hidden="false" customHeight="false" outlineLevel="0" collapsed="false">
      <c r="A11" s="84" t="s">
        <v>13</v>
      </c>
      <c r="B11" s="79" t="n">
        <v>324517</v>
      </c>
      <c r="C11" s="80" t="n">
        <v>364221</v>
      </c>
      <c r="D11" s="85" t="n">
        <v>37.3</v>
      </c>
      <c r="E11" s="80" t="n">
        <v>11497</v>
      </c>
      <c r="F11" s="80" t="n">
        <v>18946000</v>
      </c>
      <c r="G11" s="82" t="n">
        <v>33200</v>
      </c>
      <c r="H11" s="83" t="n">
        <v>25982</v>
      </c>
    </row>
    <row r="12" customFormat="false" ht="15" hidden="false" customHeight="false" outlineLevel="0" collapsed="false">
      <c r="A12" s="84" t="s">
        <v>11</v>
      </c>
      <c r="B12" s="79" t="n">
        <v>315882</v>
      </c>
      <c r="C12" s="80" t="n">
        <v>1549937</v>
      </c>
      <c r="D12" s="85" t="n">
        <v>35.5</v>
      </c>
      <c r="E12" s="85" t="n">
        <v>16.08</v>
      </c>
      <c r="F12" s="80" t="n">
        <v>23238873</v>
      </c>
      <c r="G12" s="82" t="n">
        <v>37770</v>
      </c>
      <c r="H12" s="83" t="n">
        <v>37640</v>
      </c>
    </row>
    <row r="13" customFormat="false" ht="15" hidden="false" customHeight="false" outlineLevel="0" collapsed="false">
      <c r="A13" s="84" t="s">
        <v>125</v>
      </c>
      <c r="B13" s="79" t="n">
        <v>109351</v>
      </c>
      <c r="C13" s="80" t="n">
        <v>64446</v>
      </c>
      <c r="D13" s="85" t="n">
        <v>42.2</v>
      </c>
      <c r="E13" s="85" t="n">
        <v>3.47</v>
      </c>
      <c r="F13" s="80" t="n">
        <v>2686578</v>
      </c>
      <c r="G13" s="82" t="n">
        <v>16210</v>
      </c>
      <c r="H13" s="83" t="n">
        <v>3530</v>
      </c>
    </row>
    <row r="14" customFormat="false" ht="15" hidden="false" customHeight="false" outlineLevel="0" collapsed="false">
      <c r="A14" s="84" t="s">
        <v>126</v>
      </c>
      <c r="B14" s="79" t="n">
        <v>43225</v>
      </c>
      <c r="C14" s="80" t="n">
        <v>58344</v>
      </c>
      <c r="D14" s="85" t="n">
        <v>39.9</v>
      </c>
      <c r="E14" s="85" t="n">
        <v>2.97</v>
      </c>
      <c r="F14" s="80" t="n">
        <v>2169780</v>
      </c>
      <c r="G14" s="82" t="n">
        <v>11520</v>
      </c>
      <c r="H14" s="83" t="n">
        <v>4278</v>
      </c>
    </row>
    <row r="15" customFormat="false" ht="15" hidden="false" customHeight="false" outlineLevel="0" collapsed="false">
      <c r="A15" s="84" t="s">
        <v>127</v>
      </c>
      <c r="B15" s="79" t="n">
        <v>4046</v>
      </c>
      <c r="C15" s="80" t="n">
        <v>5635</v>
      </c>
      <c r="D15" s="85" t="n">
        <v>39.8</v>
      </c>
      <c r="E15" s="85" t="n">
        <v>40</v>
      </c>
      <c r="F15" s="80" t="n">
        <v>66395</v>
      </c>
      <c r="G15" s="86" t="n">
        <v>50429</v>
      </c>
      <c r="H15" s="87" t="n">
        <v>162</v>
      </c>
    </row>
    <row r="16" customFormat="false" ht="15" hidden="false" customHeight="false" outlineLevel="0" collapsed="false">
      <c r="A16" s="84" t="s">
        <v>128</v>
      </c>
      <c r="B16" s="79" t="n">
        <v>67160</v>
      </c>
      <c r="C16" s="80" t="n">
        <v>80792</v>
      </c>
      <c r="D16" s="85" t="n">
        <v>35.9</v>
      </c>
      <c r="E16" s="80" t="n">
        <v>1194</v>
      </c>
      <c r="F16" s="80" t="n">
        <v>909646</v>
      </c>
      <c r="G16" s="82" t="n">
        <v>58040</v>
      </c>
      <c r="H16" s="83" t="n">
        <v>1944</v>
      </c>
    </row>
    <row r="17" customFormat="false" ht="15" hidden="false" customHeight="false" outlineLevel="0" collapsed="false">
      <c r="A17" s="84" t="s">
        <v>14</v>
      </c>
      <c r="B17" s="79" t="n">
        <v>146955</v>
      </c>
      <c r="C17" s="80" t="n">
        <v>280078</v>
      </c>
      <c r="D17" s="85" t="n">
        <v>37.1</v>
      </c>
      <c r="E17" s="80" t="n">
        <v>17291</v>
      </c>
      <c r="F17" s="80" t="n">
        <v>15864407</v>
      </c>
      <c r="G17" s="82" t="n">
        <v>27620</v>
      </c>
      <c r="H17" s="83" t="n">
        <v>21557</v>
      </c>
    </row>
    <row r="18" customFormat="false" ht="15" hidden="false" customHeight="false" outlineLevel="0" collapsed="false">
      <c r="A18" s="84" t="s">
        <v>129</v>
      </c>
      <c r="B18" s="79" t="n">
        <v>20119</v>
      </c>
      <c r="C18" s="80" t="n">
        <v>9479</v>
      </c>
      <c r="D18" s="85" t="n">
        <v>39.2</v>
      </c>
      <c r="E18" s="85" t="n">
        <v>588</v>
      </c>
      <c r="F18" s="80" t="n">
        <v>593689</v>
      </c>
      <c r="G18" s="82" t="n">
        <v>12010</v>
      </c>
      <c r="H18" s="83" t="n">
        <v>862</v>
      </c>
    </row>
    <row r="19" customFormat="false" ht="15" hidden="false" customHeight="false" outlineLevel="0" collapsed="false">
      <c r="A19" s="84" t="s">
        <v>130</v>
      </c>
      <c r="B19" s="79" t="n">
        <v>50445</v>
      </c>
      <c r="C19" s="80" t="n">
        <v>31085</v>
      </c>
      <c r="D19" s="85" t="n">
        <v>38.5</v>
      </c>
      <c r="E19" s="85" t="n">
        <v>859</v>
      </c>
      <c r="F19" s="80" t="n">
        <v>936264</v>
      </c>
      <c r="G19" s="82" t="n">
        <v>12860</v>
      </c>
      <c r="H19" s="83" t="n">
        <v>1296</v>
      </c>
    </row>
    <row r="20" customFormat="false" ht="15" hidden="false" customHeight="false" outlineLevel="0" collapsed="false">
      <c r="A20" s="84" t="s">
        <v>15</v>
      </c>
      <c r="B20" s="79" t="n">
        <v>12644</v>
      </c>
      <c r="C20" s="80" t="n">
        <v>23803</v>
      </c>
      <c r="D20" s="85" t="n">
        <v>37.5</v>
      </c>
      <c r="E20" s="85" t="n">
        <v>95</v>
      </c>
      <c r="F20" s="80" t="n">
        <v>179693</v>
      </c>
      <c r="G20" s="82" t="n">
        <v>95090</v>
      </c>
      <c r="H20" s="83" t="n">
        <v>251</v>
      </c>
    </row>
    <row r="21" customFormat="false" ht="15" hidden="false" customHeight="false" outlineLevel="0" collapsed="false">
      <c r="A21" s="84" t="s">
        <v>131</v>
      </c>
      <c r="B21" s="79" t="n">
        <v>8255</v>
      </c>
      <c r="C21" s="80" t="n">
        <v>18202</v>
      </c>
      <c r="D21" s="85" t="n">
        <v>38.7</v>
      </c>
      <c r="E21" s="85" t="n">
        <v>96</v>
      </c>
      <c r="F21" s="80" t="n">
        <v>86031</v>
      </c>
      <c r="G21" s="82" t="n">
        <v>23000</v>
      </c>
      <c r="H21" s="83" t="n">
        <v>189</v>
      </c>
    </row>
    <row r="22" customFormat="false" ht="15" hidden="false" customHeight="false" outlineLevel="0" collapsed="false">
      <c r="A22" s="84" t="s">
        <v>132</v>
      </c>
      <c r="B22" s="88" t="n">
        <f aca="false">MEDIAN(B2:B21,B23:B28,B30:B34,B36)</f>
        <v>43925</v>
      </c>
      <c r="C22" s="80" t="n">
        <v>4553</v>
      </c>
      <c r="D22" s="85" t="n">
        <v>43.7</v>
      </c>
      <c r="E22" s="89" t="n">
        <f aca="false">MEDIAN(E2:E21,E23:E36)</f>
        <v>1119.5</v>
      </c>
      <c r="F22" s="80" t="n">
        <v>125252</v>
      </c>
      <c r="G22" s="90" t="n">
        <v>6206.68</v>
      </c>
      <c r="H22" s="83" t="n">
        <v>214</v>
      </c>
    </row>
    <row r="23" customFormat="false" ht="15" hidden="false" customHeight="false" outlineLevel="0" collapsed="false">
      <c r="A23" s="84" t="s">
        <v>133</v>
      </c>
      <c r="B23" s="79" t="n">
        <v>112330</v>
      </c>
      <c r="C23" s="80" t="n">
        <v>166872</v>
      </c>
      <c r="D23" s="85" t="n">
        <v>30.4</v>
      </c>
      <c r="E23" s="80" t="n">
        <v>2752</v>
      </c>
      <c r="F23" s="80" t="n">
        <v>4177000</v>
      </c>
      <c r="G23" s="82" t="n">
        <v>41270</v>
      </c>
      <c r="H23" s="83" t="n">
        <v>7684</v>
      </c>
    </row>
    <row r="24" customFormat="false" ht="15" hidden="false" customHeight="false" outlineLevel="0" collapsed="false">
      <c r="A24" s="84" t="s">
        <v>134</v>
      </c>
      <c r="B24" s="79" t="n">
        <v>1016</v>
      </c>
      <c r="C24" s="80" t="n">
        <v>1741</v>
      </c>
      <c r="D24" s="85" t="n">
        <v>41.9</v>
      </c>
      <c r="E24" s="85" t="n">
        <v>853</v>
      </c>
      <c r="F24" s="80" t="n">
        <v>310784</v>
      </c>
      <c r="G24" s="90" t="n">
        <v>5011.94</v>
      </c>
      <c r="H24" s="83" t="n">
        <v>690</v>
      </c>
    </row>
    <row r="25" customFormat="false" ht="15" hidden="false" customHeight="false" outlineLevel="0" collapsed="false">
      <c r="A25" s="84" t="s">
        <v>135</v>
      </c>
      <c r="B25" s="79" t="n">
        <v>29173</v>
      </c>
      <c r="C25" s="80" t="n">
        <v>60816</v>
      </c>
      <c r="D25" s="85" t="n">
        <v>33.9</v>
      </c>
      <c r="E25" s="85" t="n">
        <v>757</v>
      </c>
      <c r="F25" s="80" t="n">
        <v>1333906</v>
      </c>
      <c r="G25" s="90" t="n">
        <v>71245.68</v>
      </c>
      <c r="H25" s="83" t="n">
        <v>2455</v>
      </c>
    </row>
    <row r="26" customFormat="false" ht="15" hidden="false" customHeight="false" outlineLevel="0" collapsed="false">
      <c r="A26" s="84" t="s">
        <v>136</v>
      </c>
      <c r="B26" s="79" t="n">
        <v>258837</v>
      </c>
      <c r="C26" s="80" t="n">
        <v>218147</v>
      </c>
      <c r="D26" s="85" t="n">
        <v>40.9</v>
      </c>
      <c r="E26" s="80" t="n">
        <v>8405</v>
      </c>
      <c r="F26" s="80" t="n">
        <v>9575376</v>
      </c>
      <c r="G26" s="82" t="n">
        <v>11390</v>
      </c>
      <c r="H26" s="83" t="n">
        <v>15406</v>
      </c>
    </row>
    <row r="27" customFormat="false" ht="15" hidden="false" customHeight="false" outlineLevel="0" collapsed="false">
      <c r="A27" s="84" t="s">
        <v>137</v>
      </c>
      <c r="B27" s="79" t="n">
        <v>40377</v>
      </c>
      <c r="C27" s="80" t="n">
        <v>36849</v>
      </c>
      <c r="D27" s="85" t="n">
        <v>40.1</v>
      </c>
      <c r="E27" s="80" t="n">
        <v>2743</v>
      </c>
      <c r="F27" s="80" t="n">
        <v>3014507</v>
      </c>
      <c r="G27" s="82" t="n">
        <v>17280</v>
      </c>
      <c r="H27" s="83" t="n">
        <v>4204</v>
      </c>
    </row>
    <row r="28" customFormat="false" ht="15" hidden="false" customHeight="false" outlineLevel="0" collapsed="false">
      <c r="A28" s="84" t="s">
        <v>138</v>
      </c>
      <c r="B28" s="79" t="n">
        <v>194718</v>
      </c>
      <c r="C28" s="80" t="n">
        <v>132795</v>
      </c>
      <c r="D28" s="85" t="n">
        <v>40</v>
      </c>
      <c r="E28" s="80" t="n">
        <v>8842</v>
      </c>
      <c r="F28" s="80" t="n">
        <v>5289793</v>
      </c>
      <c r="G28" s="82" t="n">
        <v>8090</v>
      </c>
      <c r="H28" s="83" t="n">
        <v>7298</v>
      </c>
    </row>
    <row r="29" customFormat="false" ht="15" hidden="false" customHeight="false" outlineLevel="0" collapsed="false">
      <c r="A29" s="91" t="s">
        <v>139</v>
      </c>
      <c r="B29" s="92" t="n">
        <f aca="false">MEDIAN(B2:B28,B30:B34,B36)</f>
        <v>43925</v>
      </c>
      <c r="C29" s="93" t="n">
        <f aca="false">MEDIAN(C2:C28,C30:C34)</f>
        <v>33967</v>
      </c>
      <c r="D29" s="94" t="n">
        <v>43.6</v>
      </c>
      <c r="E29" s="95" t="n">
        <v>2907</v>
      </c>
      <c r="F29" s="80" t="n">
        <v>1711249</v>
      </c>
      <c r="G29" s="90" t="n">
        <v>5322.68</v>
      </c>
      <c r="H29" s="83" t="n">
        <v>2392</v>
      </c>
    </row>
    <row r="30" customFormat="false" ht="15" hidden="false" customHeight="false" outlineLevel="0" collapsed="false">
      <c r="A30" s="84" t="s">
        <v>140</v>
      </c>
      <c r="B30" s="79" t="n">
        <v>3870</v>
      </c>
      <c r="C30" s="80" t="n">
        <v>6997</v>
      </c>
      <c r="D30" s="85" t="n">
        <v>40.3</v>
      </c>
      <c r="E30" s="85" t="n">
        <v>907</v>
      </c>
      <c r="F30" s="80" t="n">
        <v>1415171</v>
      </c>
      <c r="G30" s="82" t="n">
        <v>14820</v>
      </c>
      <c r="H30" s="83" t="n">
        <v>2466</v>
      </c>
    </row>
    <row r="31" customFormat="false" ht="15" hidden="false" customHeight="false" outlineLevel="0" collapsed="false">
      <c r="A31" s="84" t="s">
        <v>141</v>
      </c>
      <c r="B31" s="79" t="n">
        <v>14913</v>
      </c>
      <c r="C31" s="85" t="n">
        <v>15.42</v>
      </c>
      <c r="D31" s="85" t="n">
        <v>39.4</v>
      </c>
      <c r="E31" s="85" t="n">
        <v>355</v>
      </c>
      <c r="F31" s="80" t="n">
        <v>636857</v>
      </c>
      <c r="G31" s="82" t="n">
        <v>18660</v>
      </c>
      <c r="H31" s="83" t="n">
        <v>883</v>
      </c>
    </row>
    <row r="32" customFormat="false" ht="15" hidden="false" customHeight="false" outlineLevel="0" collapsed="false">
      <c r="A32" s="84" t="s">
        <v>12</v>
      </c>
      <c r="B32" s="79" t="n">
        <v>343875</v>
      </c>
      <c r="C32" s="80" t="n">
        <v>342114</v>
      </c>
      <c r="D32" s="85" t="n">
        <v>37.8</v>
      </c>
      <c r="E32" s="80" t="n">
        <v>13188</v>
      </c>
      <c r="F32" s="80" t="n">
        <v>9448336</v>
      </c>
      <c r="G32" s="82" t="n">
        <v>23440</v>
      </c>
      <c r="H32" s="83" t="n">
        <v>17634</v>
      </c>
    </row>
    <row r="33" customFormat="false" ht="15" hidden="false" customHeight="false" outlineLevel="0" collapsed="false">
      <c r="A33" s="84" t="s">
        <v>142</v>
      </c>
      <c r="B33" s="79" t="n">
        <v>55830</v>
      </c>
      <c r="C33" s="85" t="n">
        <v>134.24</v>
      </c>
      <c r="D33" s="85" t="n">
        <v>36.8</v>
      </c>
      <c r="E33" s="80" t="n">
        <v>1772</v>
      </c>
      <c r="F33" s="80" t="n">
        <v>2662142</v>
      </c>
      <c r="G33" s="82" t="n">
        <v>46170</v>
      </c>
      <c r="H33" s="83" t="n">
        <v>4505</v>
      </c>
    </row>
    <row r="34" customFormat="false" ht="15" hidden="false" customHeight="false" outlineLevel="0" collapsed="false">
      <c r="A34" s="84" t="s">
        <v>143</v>
      </c>
      <c r="B34" s="79" t="n">
        <v>116631</v>
      </c>
      <c r="C34" s="80" t="n">
        <v>153627</v>
      </c>
      <c r="D34" s="85" t="n">
        <v>35.4</v>
      </c>
      <c r="E34" s="80" t="n">
        <v>1476</v>
      </c>
      <c r="F34" s="80" t="n">
        <v>2915374</v>
      </c>
      <c r="G34" s="96" t="n">
        <v>79813.53</v>
      </c>
      <c r="H34" s="83" t="n">
        <v>4152</v>
      </c>
    </row>
    <row r="35" customFormat="false" ht="15" hidden="false" customHeight="false" outlineLevel="0" collapsed="false">
      <c r="A35" s="84" t="s">
        <v>144</v>
      </c>
      <c r="B35" s="79" t="n">
        <f aca="false">MEDIAN(B2:B34,B36)</f>
        <v>43925</v>
      </c>
      <c r="C35" s="85" t="n">
        <f aca="false">MEDIAN(C2:C34,C36)</f>
        <v>35408</v>
      </c>
      <c r="D35" s="85" t="n">
        <v>47.6</v>
      </c>
      <c r="E35" s="80" t="n">
        <v>20395</v>
      </c>
      <c r="F35" s="80" t="n">
        <v>12536442</v>
      </c>
      <c r="G35" s="96" t="n">
        <v>10523.53</v>
      </c>
      <c r="H35" s="87" t="n">
        <v>24407</v>
      </c>
    </row>
    <row r="36" customFormat="false" ht="15" hidden="false" customHeight="false" outlineLevel="0" collapsed="false">
      <c r="A36" s="84" t="s">
        <v>145</v>
      </c>
      <c r="B36" s="79" t="n">
        <v>299183</v>
      </c>
      <c r="C36" s="80" t="n">
        <v>631452</v>
      </c>
      <c r="D36" s="85" t="n">
        <v>37.1</v>
      </c>
      <c r="E36" s="80" t="n">
        <v>14756</v>
      </c>
      <c r="F36" s="80" t="n">
        <v>15640063</v>
      </c>
      <c r="G36" s="96" t="n">
        <v>42822.08</v>
      </c>
      <c r="H36" s="97" t="n">
        <f aca="false">MEDIAN(H2:H35)</f>
        <v>2711</v>
      </c>
    </row>
    <row r="37" customFormat="false" ht="15" hidden="false" customHeight="false" outlineLevel="0" collapsed="false">
      <c r="A37" s="98"/>
      <c r="C37" s="99"/>
      <c r="D37" s="99"/>
      <c r="E37" s="94"/>
      <c r="F37" s="100"/>
    </row>
    <row r="38" customFormat="false" ht="15" hidden="false" customHeight="false" outlineLevel="0" collapsed="false">
      <c r="A38" s="98" t="s">
        <v>146</v>
      </c>
      <c r="B38" s="99" t="n">
        <f aca="false">AVERAGE(B2:B36)</f>
        <v>86500.8857142857</v>
      </c>
      <c r="C38" s="99" t="n">
        <f aca="false">AVERAGE(C2:C36)</f>
        <v>137966.390285714</v>
      </c>
      <c r="D38" s="99" t="n">
        <f aca="false">AVERAGE(D2:D36)</f>
        <v>38.7285714285714</v>
      </c>
      <c r="E38" s="99" t="n">
        <f aca="false">AVERAGE(E2:E36)</f>
        <v>3562.372</v>
      </c>
      <c r="F38" s="100" t="n">
        <f aca="false">AVERAGE(F2:F36)</f>
        <v>4333260.4</v>
      </c>
      <c r="G38" s="99" t="n">
        <f aca="false">AVERAGE(G2:G36)</f>
        <v>28953.8605714286</v>
      </c>
      <c r="H38" s="99" t="n">
        <f aca="false">AVERAGE(H2:H36)</f>
        <v>6235.68571428571</v>
      </c>
    </row>
    <row r="39" customFormat="false" ht="15" hidden="false" customHeight="false" outlineLevel="0" collapsed="false">
      <c r="A39" s="98" t="s">
        <v>147</v>
      </c>
      <c r="B39" s="99" t="n">
        <f aca="false">_xlfn.VAR.S(B2:B36)</f>
        <v>10389947981.9866</v>
      </c>
      <c r="C39" s="99" t="n">
        <f aca="false">_xlfn.VAR.S(C2:C36)</f>
        <v>78279654483.6383</v>
      </c>
      <c r="D39" s="99" t="n">
        <f aca="false">_xlfn.VAR.S(D2:D36)</f>
        <v>10.0244537815126</v>
      </c>
      <c r="E39" s="99" t="n">
        <f aca="false">_xlfn.VAR.S(E2:E36)</f>
        <v>29435090.2163165</v>
      </c>
      <c r="F39" s="100" t="n">
        <f aca="false">_xlfn.VAR.S(F2:F36)</f>
        <v>35322175597064.1</v>
      </c>
      <c r="G39" s="99" t="n">
        <f aca="false">_xlfn.VAR.S(G2:G36)</f>
        <v>496806574.171723</v>
      </c>
      <c r="H39" s="99" t="n">
        <f aca="false">_xlfn.VAR.S(H2:H36)</f>
        <v>78025542.1042017</v>
      </c>
    </row>
    <row r="40" customFormat="false" ht="15" hidden="false" customHeight="false" outlineLevel="0" collapsed="false">
      <c r="A40" s="98" t="s">
        <v>86</v>
      </c>
      <c r="B40" s="101" t="n">
        <f aca="false">SQRT(B39)</f>
        <v>101931.094284259</v>
      </c>
      <c r="C40" s="101" t="n">
        <f aca="false">SQRT(C39)</f>
        <v>279785.014758901</v>
      </c>
      <c r="D40" s="101" t="n">
        <f aca="false">SQRT(D39)</f>
        <v>3.16614178165044</v>
      </c>
      <c r="E40" s="101" t="n">
        <f aca="false">SQRT(E39)</f>
        <v>5425.41152506577</v>
      </c>
      <c r="F40" s="101" t="n">
        <f aca="false">SQRT(F39)</f>
        <v>5943246.21709921</v>
      </c>
      <c r="G40" s="101" t="n">
        <f aca="false">SQRT(G39)</f>
        <v>22289.1582203484</v>
      </c>
      <c r="H40" s="101" t="n">
        <f aca="false">SQRT(H39)</f>
        <v>8833.20678486594</v>
      </c>
    </row>
    <row r="53" customFormat="false" ht="15" hidden="false" customHeight="false" outlineLevel="0" collapsed="false">
      <c r="E53" s="0" t="s">
        <v>24</v>
      </c>
    </row>
  </sheetData>
  <hyperlinks>
    <hyperlink ref="B1" r:id="rId2" display="EMIGRAZIONE"/>
    <hyperlink ref="C1" r:id="rId3" display="immigrazione 2015"/>
    <hyperlink ref="D1" r:id="rId4" display="Numero medio di ore di lavoro settimanali  2015"/>
    <hyperlink ref="E1" r:id="rId5" display="pensioni 2015"/>
    <hyperlink ref="F1" r:id="rId6" display="persone a rischio povertà 2015"/>
    <hyperlink ref="G1" r:id="rId7" display="PIL reale pro capite"/>
    <hyperlink ref="H1" r:id="rId8" display="Occupazione e attività "/>
    <hyperlink ref="G15" r:id="rId9" display="https://data.worldbank.org/indicator/NY.GDP.PCAP.CD?locations=EU"/>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1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3" activeCellId="0" sqref="1:1048576"/>
    </sheetView>
  </sheetViews>
  <sheetFormatPr defaultColWidth="8.59765625" defaultRowHeight="15" customHeight="true" zeroHeight="false" outlineLevelRow="0" outlineLevelCol="0"/>
  <cols>
    <col collapsed="false" customWidth="true" hidden="false" outlineLevel="0" max="1" min="1" style="0" width="103.72"/>
    <col collapsed="false" customWidth="true" hidden="false" outlineLevel="0" max="2" min="2" style="0" width="8.72"/>
    <col collapsed="false" customWidth="true" hidden="false" outlineLevel="0" max="3" min="3" style="0" width="13.43"/>
    <col collapsed="false" customWidth="true" hidden="false" outlineLevel="0" max="4" min="4" style="0" width="17.57"/>
    <col collapsed="false" customWidth="true" hidden="false" outlineLevel="0" max="5" min="5" style="0" width="42.86"/>
    <col collapsed="false" customWidth="true" hidden="false" outlineLevel="0" max="6" min="6" style="0" width="13"/>
    <col collapsed="false" customWidth="true" hidden="false" outlineLevel="0" max="7" min="7" style="0" width="27.43"/>
    <col collapsed="false" customWidth="true" hidden="false" outlineLevel="0" max="8" min="8" style="0" width="17.43"/>
    <col collapsed="false" customWidth="true" hidden="false" outlineLevel="0" max="9" min="9" style="0" width="20"/>
  </cols>
  <sheetData>
    <row r="1" customFormat="false" ht="15" hidden="false" customHeight="false" outlineLevel="0" collapsed="false">
      <c r="A1" s="102"/>
      <c r="B1" s="102"/>
      <c r="C1" s="103" t="s">
        <v>109</v>
      </c>
      <c r="D1" s="103" t="s">
        <v>110</v>
      </c>
      <c r="E1" s="103" t="s">
        <v>111</v>
      </c>
      <c r="F1" s="103" t="s">
        <v>112</v>
      </c>
      <c r="G1" s="103" t="s">
        <v>113</v>
      </c>
      <c r="H1" s="103" t="s">
        <v>114</v>
      </c>
      <c r="I1" s="103" t="s">
        <v>115</v>
      </c>
    </row>
    <row r="2" customFormat="false" ht="15" hidden="false" customHeight="false" outlineLevel="0" collapsed="false">
      <c r="A2" s="104" t="s">
        <v>109</v>
      </c>
      <c r="B2" s="104"/>
      <c r="C2" s="0" t="n">
        <v>1</v>
      </c>
    </row>
    <row r="3" customFormat="false" ht="15" hidden="false" customHeight="false" outlineLevel="0" collapsed="false">
      <c r="A3" s="104" t="s">
        <v>110</v>
      </c>
      <c r="B3" s="104"/>
      <c r="C3" s="105" t="n">
        <v>0.731669446554362</v>
      </c>
      <c r="D3" s="0" t="n">
        <v>1</v>
      </c>
    </row>
    <row r="4" customFormat="false" ht="15" hidden="false" customHeight="false" outlineLevel="0" collapsed="false">
      <c r="A4" s="104" t="s">
        <v>111</v>
      </c>
      <c r="B4" s="104"/>
      <c r="C4" s="105" t="n">
        <v>-0.227550717637995</v>
      </c>
      <c r="D4" s="0" t="n">
        <v>-0.302026954919886</v>
      </c>
      <c r="E4" s="0" t="n">
        <v>1</v>
      </c>
    </row>
    <row r="5" customFormat="false" ht="15" hidden="false" customHeight="false" outlineLevel="0" collapsed="false">
      <c r="A5" s="104" t="s">
        <v>112</v>
      </c>
      <c r="B5" s="104"/>
      <c r="C5" s="105" t="n">
        <v>0.574091463472822</v>
      </c>
      <c r="D5" s="0" t="n">
        <v>0.219474886755987</v>
      </c>
      <c r="E5" s="0" t="n">
        <v>0.200014982963547</v>
      </c>
      <c r="F5" s="0" t="n">
        <v>1</v>
      </c>
    </row>
    <row r="6" customFormat="false" ht="15" hidden="false" customHeight="false" outlineLevel="0" collapsed="false">
      <c r="A6" s="104" t="s">
        <v>113</v>
      </c>
      <c r="B6" s="104"/>
      <c r="C6" s="105" t="n">
        <v>0.829199168976438</v>
      </c>
      <c r="D6" s="0" t="n">
        <v>0.80908207010972</v>
      </c>
      <c r="E6" s="0" t="n">
        <v>-0.0943346355849271</v>
      </c>
      <c r="F6" s="0" t="n">
        <v>0.688509421997302</v>
      </c>
      <c r="G6" s="0" t="n">
        <v>1</v>
      </c>
    </row>
    <row r="7" customFormat="false" ht="15" hidden="false" customHeight="false" outlineLevel="0" collapsed="false">
      <c r="A7" s="104" t="s">
        <v>114</v>
      </c>
      <c r="B7" s="104"/>
      <c r="C7" s="105" t="n">
        <v>0.0464302383179777</v>
      </c>
      <c r="D7" s="0" t="n">
        <v>0.1418649984392</v>
      </c>
      <c r="E7" s="0" t="n">
        <v>-0.66087544671037</v>
      </c>
      <c r="F7" s="0" t="n">
        <v>-0.139305970322558</v>
      </c>
      <c r="G7" s="0" t="n">
        <v>0.00607765104662093</v>
      </c>
      <c r="H7" s="0" t="n">
        <v>1</v>
      </c>
    </row>
    <row r="8" customFormat="false" ht="15" hidden="false" customHeight="false" outlineLevel="0" collapsed="false">
      <c r="A8" s="106" t="s">
        <v>115</v>
      </c>
      <c r="B8" s="106"/>
      <c r="C8" s="107" t="n">
        <v>0.711360242361251</v>
      </c>
      <c r="D8" s="108" t="n">
        <v>0.731972552476921</v>
      </c>
      <c r="E8" s="108" t="n">
        <v>-0.0301753703860336</v>
      </c>
      <c r="F8" s="108" t="n">
        <v>0.589466226293404</v>
      </c>
      <c r="G8" s="108" t="n">
        <v>0.907260208664016</v>
      </c>
      <c r="H8" s="108" t="n">
        <v>-0.0452252991616453</v>
      </c>
      <c r="I8" s="108" t="n">
        <v>1</v>
      </c>
    </row>
    <row r="9" customFormat="false" ht="15" hidden="false" customHeight="false" outlineLevel="0" collapsed="false"/>
    <row r="10" customFormat="false" ht="17.25" hidden="false" customHeight="false" outlineLevel="0" collapsed="false">
      <c r="A10" s="109" t="s">
        <v>148</v>
      </c>
      <c r="B10" s="109"/>
      <c r="C10" s="109"/>
      <c r="D10" s="110" t="s">
        <v>149</v>
      </c>
      <c r="E10" s="110" t="s">
        <v>150</v>
      </c>
      <c r="G10" s="110"/>
      <c r="I10" s="109"/>
    </row>
    <row r="11" customFormat="false" ht="15.75" hidden="false" customHeight="false" outlineLevel="0" collapsed="false">
      <c r="A11" s="109" t="s">
        <v>151</v>
      </c>
      <c r="B11" s="109"/>
      <c r="C11" s="109"/>
      <c r="D11" s="0" t="s">
        <v>152</v>
      </c>
      <c r="E11" s="109"/>
      <c r="F11" s="109" t="s">
        <v>153</v>
      </c>
      <c r="H11" s="109"/>
      <c r="I11" s="109"/>
    </row>
    <row r="12" customFormat="false" ht="15" hidden="false" customHeight="false" outlineLevel="0" collapsed="false"/>
    <row r="13" customFormat="false" ht="15" hidden="false" customHeight="false" outlineLevel="0" collapsed="false"/>
    <row r="14" customFormat="false" ht="15" hidden="false" customHeight="false" outlineLevel="0" collapsed="false">
      <c r="A14" s="109" t="s">
        <v>154</v>
      </c>
      <c r="B14" s="109"/>
      <c r="C14" s="111" t="s">
        <v>155</v>
      </c>
      <c r="D14" s="0" t="n">
        <f aca="false">_xlfn.T.INV.2T(0.05,33)</f>
        <v>2.03451529744934</v>
      </c>
      <c r="E14" s="109"/>
      <c r="F14" s="109"/>
    </row>
    <row r="15" customFormat="false" ht="15" hidden="false" customHeight="false" outlineLevel="0" collapsed="false"/>
    <row r="16" customFormat="false" ht="16.4" hidden="false" customHeight="false" outlineLevel="0" collapsed="false">
      <c r="A16" s="0" t="s">
        <v>156</v>
      </c>
      <c r="B16" s="0" t="s">
        <v>157</v>
      </c>
      <c r="C16" s="0" t="n">
        <f aca="false">C3*SQRT(33/1-C3^2)</f>
        <v>4.16888915664882</v>
      </c>
      <c r="D16" s="0" t="s">
        <v>158</v>
      </c>
      <c r="E16" s="0" t="s">
        <v>159</v>
      </c>
    </row>
    <row r="17" customFormat="false" ht="16.4" hidden="false" customHeight="false" outlineLevel="0" collapsed="false">
      <c r="A17" s="112" t="s">
        <v>160</v>
      </c>
      <c r="B17" s="0" t="s">
        <v>157</v>
      </c>
      <c r="C17" s="0" t="n">
        <f aca="false">C4*SQRT(33/1-C4^2)</f>
        <v>-1.30615342180691</v>
      </c>
      <c r="D17" s="0" t="s">
        <v>161</v>
      </c>
      <c r="E17" s="0" t="s">
        <v>162</v>
      </c>
    </row>
    <row r="18" customFormat="false" ht="16.4" hidden="false" customHeight="false" outlineLevel="0" collapsed="false">
      <c r="A18" s="0" t="s">
        <v>163</v>
      </c>
      <c r="B18" s="0" t="s">
        <v>157</v>
      </c>
      <c r="C18" s="0" t="n">
        <f aca="false">C5*SQRT(33/1-C5^2)</f>
        <v>3.28139446533769</v>
      </c>
      <c r="D18" s="0" t="s">
        <v>158</v>
      </c>
      <c r="E18" s="0" t="s">
        <v>164</v>
      </c>
    </row>
    <row r="19" customFormat="false" ht="16.4" hidden="false" customHeight="false" outlineLevel="0" collapsed="false">
      <c r="A19" s="0" t="s">
        <v>165</v>
      </c>
      <c r="B19" s="0" t="s">
        <v>157</v>
      </c>
      <c r="C19" s="0" t="n">
        <f aca="false">C6*SQRT(33/1-C6^2)</f>
        <v>4.71350160712118</v>
      </c>
      <c r="D19" s="0" t="s">
        <v>158</v>
      </c>
      <c r="E19" s="0" t="s">
        <v>166</v>
      </c>
    </row>
    <row r="20" customFormat="false" ht="16.4" hidden="false" customHeight="false" outlineLevel="0" collapsed="false">
      <c r="A20" s="0" t="s">
        <v>167</v>
      </c>
      <c r="B20" s="0" t="s">
        <v>157</v>
      </c>
      <c r="C20" s="113" t="n">
        <f aca="false">C7*SQRT(33/1-C7^2)</f>
        <v>0.266712700611032</v>
      </c>
      <c r="D20" s="0" t="s">
        <v>168</v>
      </c>
      <c r="E20" s="0" t="s">
        <v>169</v>
      </c>
    </row>
    <row r="21" customFormat="false" ht="16.4" hidden="false" customHeight="false" outlineLevel="0" collapsed="false">
      <c r="A21" s="0" t="s">
        <v>170</v>
      </c>
      <c r="B21" s="0" t="s">
        <v>157</v>
      </c>
      <c r="C21" s="0" t="n">
        <f aca="false">C8*SQRT(33/1-C8^2)</f>
        <v>4.05500089017797</v>
      </c>
      <c r="D21" s="0" t="s">
        <v>158</v>
      </c>
      <c r="E21" s="0" t="s">
        <v>159</v>
      </c>
    </row>
    <row r="22" customFormat="false" ht="15" hidden="false" customHeight="false" outlineLevel="0" collapsed="false"/>
    <row r="23" customFormat="false" ht="15" hidden="false" customHeight="false" outlineLevel="0" collapsed="false"/>
    <row r="24" customFormat="false" ht="15" hidden="false" customHeight="false" outlineLevel="0" collapsed="false"/>
    <row r="25" customFormat="false" ht="15" hidden="false" customHeight="false" outlineLevel="0" collapsed="false"/>
    <row r="26" customFormat="false" ht="15" hidden="false" customHeight="false" outlineLevel="0" collapsed="false"/>
    <row r="27" customFormat="false" ht="15" hidden="false" customHeight="false" outlineLevel="0" collapsed="false"/>
    <row r="28" customFormat="false" ht="15" hidden="false" customHeight="false" outlineLevel="0" collapsed="false"/>
    <row r="29" customFormat="false" ht="15" hidden="false" customHeight="false" outlineLevel="0" collapsed="false"/>
  </sheetData>
  <conditionalFormatting sqref="C16:C21">
    <cfRule type="cellIs" priority="2" operator="lessThan" aboveAverage="0" equalAverage="0" bottom="0" percent="0" rank="0" text="" dxfId="0">
      <formula>0.05</formula>
    </cfRule>
    <cfRule type="cellIs" priority="3" operator="greaterThan" aboveAverage="0" equalAverage="0" bottom="0" percent="0" rank="0" text="" dxfId="1">
      <formula>$D$14</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6"/>
  <sheetViews>
    <sheetView showFormulas="false" showGridLines="true" showRowColHeaders="true" showZeros="true" rightToLeft="false" tabSelected="false" showOutlineSymbols="true" defaultGridColor="true" view="normal" topLeftCell="J1" colorId="64" zoomScale="100" zoomScaleNormal="100" zoomScalePageLayoutView="100" workbookViewId="0">
      <selection pane="topLeft" activeCell="K5" activeCellId="0" sqref="1:1048576"/>
    </sheetView>
  </sheetViews>
  <sheetFormatPr defaultColWidth="8.59765625" defaultRowHeight="15" customHeight="false" zeroHeight="false" outlineLevelRow="0" outlineLevelCol="0"/>
  <cols>
    <col collapsed="false" customWidth="true" hidden="false" outlineLevel="0" max="1" min="1" style="0" width="16.14"/>
    <col collapsed="false" customWidth="true" hidden="false" outlineLevel="0" max="2" min="2" style="0" width="23"/>
    <col collapsed="false" customWidth="true" hidden="false" outlineLevel="0" max="3" min="3" style="0" width="17.43"/>
    <col collapsed="false" customWidth="true" hidden="false" outlineLevel="0" max="4" min="4" style="0" width="39.57"/>
    <col collapsed="false" customWidth="true" hidden="false" outlineLevel="0" max="5" min="5" style="0" width="19.43"/>
    <col collapsed="false" customWidth="true" hidden="false" outlineLevel="0" max="6" min="6" style="0" width="25.29"/>
    <col collapsed="false" customWidth="true" hidden="false" outlineLevel="0" max="7" min="7" style="0" width="15.86"/>
    <col collapsed="false" customWidth="true" hidden="false" outlineLevel="0" max="8" min="8" style="0" width="20.14"/>
    <col collapsed="false" customWidth="true" hidden="false" outlineLevel="0" max="9" min="9" style="0" width="15"/>
    <col collapsed="false" customWidth="true" hidden="false" outlineLevel="0" max="10" min="10" style="0" width="43.15"/>
    <col collapsed="false" customWidth="true" hidden="false" outlineLevel="0" max="11" min="11" style="0" width="20.86"/>
    <col collapsed="false" customWidth="true" hidden="false" outlineLevel="0" max="12" min="12" style="0" width="14.57"/>
    <col collapsed="false" customWidth="true" hidden="false" outlineLevel="0" max="13" min="13" style="0" width="12.86"/>
    <col collapsed="false" customWidth="true" hidden="false" outlineLevel="0" max="14" min="14" style="0" width="20.57"/>
    <col collapsed="false" customWidth="true" hidden="false" outlineLevel="0" max="15" min="15" style="0" width="14"/>
    <col collapsed="false" customWidth="true" hidden="false" outlineLevel="0" max="16" min="16" style="0" width="13.29"/>
    <col collapsed="false" customWidth="true" hidden="false" outlineLevel="0" max="17" min="17" style="0" width="14"/>
    <col collapsed="false" customWidth="true" hidden="false" outlineLevel="0" max="18" min="18" style="0" width="15"/>
  </cols>
  <sheetData>
    <row r="1" customFormat="false" ht="16.4" hidden="false" customHeight="false" outlineLevel="0" collapsed="false">
      <c r="A1" s="72" t="s">
        <v>108</v>
      </c>
      <c r="B1" s="73" t="s">
        <v>109</v>
      </c>
      <c r="C1" s="74" t="s">
        <v>110</v>
      </c>
      <c r="D1" s="75" t="s">
        <v>111</v>
      </c>
      <c r="E1" s="76" t="s">
        <v>112</v>
      </c>
      <c r="F1" s="75" t="s">
        <v>113</v>
      </c>
      <c r="G1" s="75" t="s">
        <v>114</v>
      </c>
      <c r="H1" s="77" t="s">
        <v>115</v>
      </c>
      <c r="J1" s="104" t="s">
        <v>171</v>
      </c>
    </row>
    <row r="2" customFormat="false" ht="15" hidden="false" customHeight="false" outlineLevel="0" collapsed="false">
      <c r="A2" s="78" t="s">
        <v>116</v>
      </c>
      <c r="B2" s="114" t="n">
        <v>56689</v>
      </c>
      <c r="C2" s="95" t="n">
        <v>166323</v>
      </c>
      <c r="D2" s="115" t="n">
        <v>36.9</v>
      </c>
      <c r="E2" s="95" t="n">
        <v>1434</v>
      </c>
      <c r="F2" s="95" t="n">
        <v>2413205</v>
      </c>
      <c r="G2" s="116" t="n">
        <v>39640</v>
      </c>
      <c r="H2" s="87" t="n">
        <v>3918</v>
      </c>
    </row>
    <row r="3" customFormat="false" ht="15" hidden="false" customHeight="false" outlineLevel="0" collapsed="false">
      <c r="A3" s="84" t="s">
        <v>117</v>
      </c>
      <c r="B3" s="114" t="n">
        <v>89794</v>
      </c>
      <c r="C3" s="95" t="n">
        <v>146626</v>
      </c>
      <c r="D3" s="94" t="n">
        <v>37.1</v>
      </c>
      <c r="E3" s="95" t="n">
        <v>2397</v>
      </c>
      <c r="F3" s="95" t="n">
        <v>2786902</v>
      </c>
      <c r="G3" s="116" t="n">
        <v>36860</v>
      </c>
      <c r="H3" s="87" t="n">
        <v>4468</v>
      </c>
      <c r="J3" s="103" t="s">
        <v>172</v>
      </c>
      <c r="K3" s="103"/>
    </row>
    <row r="4" customFormat="false" ht="15" hidden="false" customHeight="false" outlineLevel="0" collapsed="false">
      <c r="A4" s="84" t="s">
        <v>118</v>
      </c>
      <c r="B4" s="114" t="n">
        <v>29470</v>
      </c>
      <c r="C4" s="95" t="n">
        <v>25223</v>
      </c>
      <c r="D4" s="94" t="n">
        <v>40.9</v>
      </c>
      <c r="E4" s="95" t="n">
        <v>3124</v>
      </c>
      <c r="F4" s="95" t="n">
        <v>2179937</v>
      </c>
      <c r="G4" s="116" t="n">
        <v>6560</v>
      </c>
      <c r="H4" s="87" t="n">
        <v>2934</v>
      </c>
      <c r="J4" s="0" t="s">
        <v>173</v>
      </c>
      <c r="K4" s="105" t="n">
        <v>0.864022568119783</v>
      </c>
    </row>
    <row r="5" customFormat="false" ht="15" hidden="false" customHeight="false" outlineLevel="0" collapsed="false">
      <c r="A5" s="84" t="s">
        <v>119</v>
      </c>
      <c r="B5" s="114" t="n">
        <v>29651</v>
      </c>
      <c r="C5" s="95" t="n">
        <v>11706</v>
      </c>
      <c r="D5" s="94" t="n">
        <v>39.7</v>
      </c>
      <c r="E5" s="95" t="n">
        <v>1022</v>
      </c>
      <c r="F5" s="95" t="n">
        <v>1228020</v>
      </c>
      <c r="G5" s="116" t="n">
        <v>10810</v>
      </c>
      <c r="H5" s="87" t="n">
        <v>1513</v>
      </c>
      <c r="J5" s="0" t="s">
        <v>174</v>
      </c>
      <c r="K5" s="117" t="n">
        <v>0.746534998220305</v>
      </c>
    </row>
    <row r="6" customFormat="false" ht="15" hidden="false" customHeight="false" outlineLevel="0" collapsed="false">
      <c r="A6" s="84" t="s">
        <v>120</v>
      </c>
      <c r="B6" s="114" t="n">
        <v>17183</v>
      </c>
      <c r="C6" s="95" t="n">
        <v>15183</v>
      </c>
      <c r="D6" s="94" t="n">
        <v>39.6</v>
      </c>
      <c r="E6" s="94" t="n">
        <v>192</v>
      </c>
      <c r="F6" s="95" t="n">
        <v>157454</v>
      </c>
      <c r="G6" s="116" t="n">
        <v>21220</v>
      </c>
      <c r="H6" s="87" t="n">
        <v>348</v>
      </c>
      <c r="J6" s="0" t="s">
        <v>175</v>
      </c>
      <c r="K6" s="118" t="n">
        <v>0.692221069267513</v>
      </c>
    </row>
    <row r="7" customFormat="false" ht="15" hidden="false" customHeight="false" outlineLevel="0" collapsed="false">
      <c r="A7" s="84" t="s">
        <v>121</v>
      </c>
      <c r="B7" s="114" t="n">
        <v>25684</v>
      </c>
      <c r="C7" s="95" t="n">
        <v>29602</v>
      </c>
      <c r="D7" s="94" t="n">
        <v>40.7</v>
      </c>
      <c r="E7" s="95" t="n">
        <v>1342</v>
      </c>
      <c r="F7" s="95" t="n">
        <v>2931615</v>
      </c>
      <c r="G7" s="116" t="n">
        <v>16230</v>
      </c>
      <c r="H7" s="87" t="n">
        <v>4913</v>
      </c>
      <c r="J7" s="0" t="s">
        <v>176</v>
      </c>
      <c r="K7" s="0" t="n">
        <v>56549.1563178619</v>
      </c>
    </row>
    <row r="8" customFormat="false" ht="15" hidden="false" customHeight="false" outlineLevel="0" collapsed="false">
      <c r="A8" s="84" t="s">
        <v>122</v>
      </c>
      <c r="B8" s="114" t="n">
        <v>44625</v>
      </c>
      <c r="C8" s="95" t="n">
        <v>78492</v>
      </c>
      <c r="D8" s="94" t="n">
        <v>33.9</v>
      </c>
      <c r="E8" s="95" t="n">
        <v>1045</v>
      </c>
      <c r="F8" s="95" t="n">
        <v>1539560</v>
      </c>
      <c r="G8" s="116" t="n">
        <v>47900</v>
      </c>
      <c r="H8" s="87" t="n">
        <v>2488</v>
      </c>
      <c r="J8" s="108" t="s">
        <v>177</v>
      </c>
      <c r="K8" s="108" t="n">
        <v>35</v>
      </c>
    </row>
    <row r="9" customFormat="false" ht="15" hidden="false" customHeight="false" outlineLevel="0" collapsed="false">
      <c r="A9" s="84" t="s">
        <v>123</v>
      </c>
      <c r="B9" s="114" t="n">
        <v>13003</v>
      </c>
      <c r="C9" s="95" t="n">
        <v>15413</v>
      </c>
      <c r="D9" s="94" t="n">
        <v>39</v>
      </c>
      <c r="E9" s="94" t="n">
        <v>307</v>
      </c>
      <c r="F9" s="95" t="n">
        <v>416841</v>
      </c>
      <c r="G9" s="116" t="n">
        <v>16000</v>
      </c>
      <c r="H9" s="87" t="n">
        <v>606</v>
      </c>
    </row>
    <row r="10" customFormat="false" ht="15" hidden="false" customHeight="false" outlineLevel="0" collapsed="false">
      <c r="A10" s="84" t="s">
        <v>124</v>
      </c>
      <c r="B10" s="114" t="n">
        <v>16305</v>
      </c>
      <c r="C10" s="95" t="n">
        <v>28746</v>
      </c>
      <c r="D10" s="94" t="n">
        <v>37.2</v>
      </c>
      <c r="E10" s="94" t="n">
        <v>910</v>
      </c>
      <c r="F10" s="95" t="n">
        <v>1540972</v>
      </c>
      <c r="G10" s="116" t="n">
        <v>38350</v>
      </c>
      <c r="H10" s="87" t="n">
        <v>2269</v>
      </c>
      <c r="J10" s="104" t="s">
        <v>178</v>
      </c>
    </row>
    <row r="11" customFormat="false" ht="15" hidden="false" customHeight="false" outlineLevel="0" collapsed="false">
      <c r="A11" s="84" t="s">
        <v>13</v>
      </c>
      <c r="B11" s="114" t="n">
        <v>324517</v>
      </c>
      <c r="C11" s="95" t="n">
        <v>364221</v>
      </c>
      <c r="D11" s="94" t="n">
        <v>37.3</v>
      </c>
      <c r="E11" s="95" t="n">
        <v>11497</v>
      </c>
      <c r="F11" s="95" t="n">
        <v>18946000</v>
      </c>
      <c r="G11" s="116" t="n">
        <v>33200</v>
      </c>
      <c r="H11" s="87" t="n">
        <v>25982</v>
      </c>
      <c r="J11" s="102"/>
      <c r="K11" s="102" t="s">
        <v>179</v>
      </c>
      <c r="L11" s="102" t="s">
        <v>180</v>
      </c>
      <c r="M11" s="102" t="s">
        <v>181</v>
      </c>
      <c r="N11" s="119" t="s">
        <v>182</v>
      </c>
      <c r="O11" s="119" t="s">
        <v>183</v>
      </c>
    </row>
    <row r="12" customFormat="false" ht="15" hidden="false" customHeight="false" outlineLevel="0" collapsed="false">
      <c r="A12" s="84" t="s">
        <v>11</v>
      </c>
      <c r="B12" s="114" t="n">
        <v>315882</v>
      </c>
      <c r="C12" s="95" t="n">
        <v>1549937</v>
      </c>
      <c r="D12" s="94" t="n">
        <v>35.5</v>
      </c>
      <c r="E12" s="94" t="n">
        <v>16.08</v>
      </c>
      <c r="F12" s="95" t="n">
        <v>23238873</v>
      </c>
      <c r="G12" s="116" t="n">
        <v>37770</v>
      </c>
      <c r="H12" s="87" t="n">
        <v>37640</v>
      </c>
      <c r="J12" s="0" t="s">
        <v>184</v>
      </c>
      <c r="K12" s="0" t="n">
        <v>6</v>
      </c>
      <c r="L12" s="0" t="n">
        <v>263719633140.207</v>
      </c>
      <c r="M12" s="0" t="n">
        <v>43953272190.0346</v>
      </c>
      <c r="N12" s="120" t="n">
        <v>13.7448167093412</v>
      </c>
      <c r="O12" s="120" t="n">
        <v>3.16053687430551E-007</v>
      </c>
    </row>
    <row r="13" customFormat="false" ht="15" hidden="false" customHeight="false" outlineLevel="0" collapsed="false">
      <c r="A13" s="84" t="s">
        <v>125</v>
      </c>
      <c r="B13" s="114" t="n">
        <v>109351</v>
      </c>
      <c r="C13" s="95" t="n">
        <v>64446</v>
      </c>
      <c r="D13" s="94" t="n">
        <v>42.2</v>
      </c>
      <c r="E13" s="94" t="n">
        <v>3.47</v>
      </c>
      <c r="F13" s="95" t="n">
        <v>2686578</v>
      </c>
      <c r="G13" s="116" t="n">
        <v>16210</v>
      </c>
      <c r="H13" s="87" t="n">
        <v>3530</v>
      </c>
      <c r="J13" s="0" t="s">
        <v>185</v>
      </c>
      <c r="K13" s="0" t="n">
        <v>28</v>
      </c>
      <c r="L13" s="0" t="n">
        <v>89538598247.3355</v>
      </c>
      <c r="M13" s="0" t="n">
        <v>3197807080.26198</v>
      </c>
    </row>
    <row r="14" customFormat="false" ht="15" hidden="false" customHeight="false" outlineLevel="0" collapsed="false">
      <c r="A14" s="84" t="s">
        <v>126</v>
      </c>
      <c r="B14" s="114" t="n">
        <v>43225</v>
      </c>
      <c r="C14" s="95" t="n">
        <v>58344</v>
      </c>
      <c r="D14" s="94" t="n">
        <v>39.9</v>
      </c>
      <c r="E14" s="94" t="n">
        <v>2.97</v>
      </c>
      <c r="F14" s="95" t="n">
        <v>2169780</v>
      </c>
      <c r="G14" s="116" t="n">
        <v>11520</v>
      </c>
      <c r="H14" s="87" t="n">
        <v>4278</v>
      </c>
      <c r="J14" s="108" t="s">
        <v>186</v>
      </c>
      <c r="K14" s="108" t="n">
        <v>34</v>
      </c>
      <c r="L14" s="108" t="n">
        <v>353258231387.543</v>
      </c>
      <c r="M14" s="108"/>
      <c r="N14" s="108"/>
      <c r="O14" s="108"/>
    </row>
    <row r="15" customFormat="false" ht="15" hidden="false" customHeight="false" outlineLevel="0" collapsed="false">
      <c r="A15" s="84" t="s">
        <v>127</v>
      </c>
      <c r="B15" s="114" t="n">
        <v>4046</v>
      </c>
      <c r="C15" s="95" t="n">
        <v>5635</v>
      </c>
      <c r="D15" s="94" t="n">
        <v>39.8</v>
      </c>
      <c r="E15" s="94" t="n">
        <v>40</v>
      </c>
      <c r="F15" s="95" t="n">
        <v>66395</v>
      </c>
      <c r="G15" s="86" t="n">
        <v>50429</v>
      </c>
      <c r="H15" s="87" t="n">
        <v>162</v>
      </c>
    </row>
    <row r="16" customFormat="false" ht="15" hidden="false" customHeight="false" outlineLevel="0" collapsed="false">
      <c r="A16" s="84" t="s">
        <v>128</v>
      </c>
      <c r="B16" s="114" t="n">
        <v>67160</v>
      </c>
      <c r="C16" s="95" t="n">
        <v>80792</v>
      </c>
      <c r="D16" s="94" t="n">
        <v>35.9</v>
      </c>
      <c r="E16" s="95" t="n">
        <v>1194</v>
      </c>
      <c r="F16" s="95" t="n">
        <v>909646</v>
      </c>
      <c r="G16" s="116" t="n">
        <v>58040</v>
      </c>
      <c r="H16" s="87" t="n">
        <v>1944</v>
      </c>
    </row>
    <row r="17" customFormat="false" ht="15" hidden="false" customHeight="false" outlineLevel="0" collapsed="false">
      <c r="A17" s="84" t="s">
        <v>14</v>
      </c>
      <c r="B17" s="114" t="n">
        <v>146955</v>
      </c>
      <c r="C17" s="95" t="n">
        <v>280078</v>
      </c>
      <c r="D17" s="94" t="n">
        <v>37.1</v>
      </c>
      <c r="E17" s="95" t="n">
        <v>17291</v>
      </c>
      <c r="F17" s="95" t="n">
        <v>15864407</v>
      </c>
      <c r="G17" s="116" t="n">
        <v>27620</v>
      </c>
      <c r="H17" s="87" t="n">
        <v>21557</v>
      </c>
    </row>
    <row r="18" customFormat="false" ht="15" hidden="false" customHeight="false" outlineLevel="0" collapsed="false">
      <c r="A18" s="84" t="s">
        <v>129</v>
      </c>
      <c r="B18" s="114" t="n">
        <v>20119</v>
      </c>
      <c r="C18" s="95" t="n">
        <v>9479</v>
      </c>
      <c r="D18" s="94" t="n">
        <v>39.2</v>
      </c>
      <c r="E18" s="94" t="n">
        <v>588</v>
      </c>
      <c r="F18" s="95" t="n">
        <v>593689</v>
      </c>
      <c r="G18" s="116" t="n">
        <v>12010</v>
      </c>
      <c r="H18" s="87" t="n">
        <v>862</v>
      </c>
      <c r="J18" s="102"/>
      <c r="K18" s="102" t="s">
        <v>187</v>
      </c>
      <c r="L18" s="102" t="s">
        <v>176</v>
      </c>
      <c r="M18" s="102" t="s">
        <v>188</v>
      </c>
      <c r="N18" s="102" t="s">
        <v>189</v>
      </c>
      <c r="O18" s="102" t="s">
        <v>190</v>
      </c>
      <c r="P18" s="102" t="s">
        <v>191</v>
      </c>
      <c r="Q18" s="102" t="s">
        <v>192</v>
      </c>
      <c r="R18" s="102" t="s">
        <v>193</v>
      </c>
    </row>
    <row r="19" customFormat="false" ht="16.4" hidden="false" customHeight="false" outlineLevel="0" collapsed="false">
      <c r="A19" s="84" t="s">
        <v>130</v>
      </c>
      <c r="B19" s="114" t="n">
        <v>50445</v>
      </c>
      <c r="C19" s="95" t="n">
        <v>31085</v>
      </c>
      <c r="D19" s="94" t="n">
        <v>38.5</v>
      </c>
      <c r="E19" s="94" t="n">
        <v>859</v>
      </c>
      <c r="F19" s="95" t="n">
        <v>936264</v>
      </c>
      <c r="G19" s="116" t="n">
        <v>12860</v>
      </c>
      <c r="H19" s="87" t="n">
        <v>1296</v>
      </c>
      <c r="J19" s="0" t="s">
        <v>194</v>
      </c>
      <c r="K19" s="0" t="n">
        <v>314165.827346127</v>
      </c>
      <c r="L19" s="0" t="n">
        <v>181889.660445532</v>
      </c>
      <c r="M19" s="0" t="n">
        <v>1.72723301905446</v>
      </c>
      <c r="N19" s="0" t="n">
        <v>0.0951434316342976</v>
      </c>
      <c r="O19" s="0" t="n">
        <v>-58418.2521292138</v>
      </c>
      <c r="P19" s="0" t="n">
        <v>686749.906821467</v>
      </c>
      <c r="Q19" s="0" t="n">
        <v>-58418.2521292138</v>
      </c>
      <c r="R19" s="0" t="n">
        <v>686749.906821467</v>
      </c>
    </row>
    <row r="20" customFormat="false" ht="16.4" hidden="false" customHeight="false" outlineLevel="0" collapsed="false">
      <c r="A20" s="84" t="s">
        <v>15</v>
      </c>
      <c r="B20" s="114" t="n">
        <v>12644</v>
      </c>
      <c r="C20" s="95" t="n">
        <v>23803</v>
      </c>
      <c r="D20" s="94" t="n">
        <v>37.5</v>
      </c>
      <c r="E20" s="94" t="n">
        <v>95</v>
      </c>
      <c r="F20" s="95" t="n">
        <v>179693</v>
      </c>
      <c r="G20" s="116" t="n">
        <v>95090</v>
      </c>
      <c r="H20" s="87" t="n">
        <v>251</v>
      </c>
      <c r="J20" s="0" t="s">
        <v>110</v>
      </c>
      <c r="K20" s="0" t="n">
        <v>0.14952713530206</v>
      </c>
      <c r="L20" s="0" t="n">
        <v>0.0989615489796221</v>
      </c>
      <c r="M20" s="0" t="n">
        <v>1.51096195283737</v>
      </c>
      <c r="N20" s="0" t="n">
        <v>0.142002681981736</v>
      </c>
      <c r="O20" s="0" t="n">
        <v>-0.0531864083909173</v>
      </c>
      <c r="P20" s="0" t="n">
        <v>0.352240678995038</v>
      </c>
      <c r="Q20" s="0" t="n">
        <v>-0.0531864083909173</v>
      </c>
      <c r="R20" s="0" t="n">
        <v>0.352240678995038</v>
      </c>
    </row>
    <row r="21" customFormat="false" ht="16.4" hidden="false" customHeight="false" outlineLevel="0" collapsed="false">
      <c r="A21" s="84" t="s">
        <v>131</v>
      </c>
      <c r="B21" s="114" t="n">
        <v>8255</v>
      </c>
      <c r="C21" s="95" t="n">
        <v>18202</v>
      </c>
      <c r="D21" s="94" t="n">
        <v>38.7</v>
      </c>
      <c r="E21" s="94" t="n">
        <v>96</v>
      </c>
      <c r="F21" s="95" t="n">
        <v>86031</v>
      </c>
      <c r="G21" s="116" t="n">
        <v>23000</v>
      </c>
      <c r="H21" s="87" t="n">
        <v>189</v>
      </c>
      <c r="J21" s="0" t="s">
        <v>111</v>
      </c>
      <c r="K21" s="0" t="n">
        <v>-7050.53450513032</v>
      </c>
      <c r="L21" s="0" t="n">
        <v>4395.613686177</v>
      </c>
      <c r="M21" s="0" t="n">
        <v>-1.60399320970865</v>
      </c>
      <c r="N21" s="0" t="n">
        <v>0.119937516681714</v>
      </c>
      <c r="O21" s="0" t="n">
        <v>-16054.5409724682</v>
      </c>
      <c r="P21" s="0" t="n">
        <v>1953.47196220757</v>
      </c>
      <c r="Q21" s="0" t="n">
        <v>-16054.5409724682</v>
      </c>
      <c r="R21" s="0" t="n">
        <v>1953.47196220757</v>
      </c>
    </row>
    <row r="22" customFormat="false" ht="16.4" hidden="false" customHeight="false" outlineLevel="0" collapsed="false">
      <c r="A22" s="84" t="s">
        <v>132</v>
      </c>
      <c r="B22" s="88" t="n">
        <f aca="false">MEDIAN(B2:B21,B23:B28,B30:B34,B36)</f>
        <v>43925</v>
      </c>
      <c r="C22" s="95" t="n">
        <v>4553</v>
      </c>
      <c r="D22" s="94" t="n">
        <v>43.7</v>
      </c>
      <c r="E22" s="89" t="n">
        <f aca="false">MEDIAN(E2:E21,E23:E36)</f>
        <v>1119.5</v>
      </c>
      <c r="F22" s="95" t="n">
        <v>125252</v>
      </c>
      <c r="G22" s="90" t="n">
        <v>6206.68</v>
      </c>
      <c r="H22" s="87" t="n">
        <v>214</v>
      </c>
      <c r="J22" s="0" t="s">
        <v>112</v>
      </c>
      <c r="K22" s="0" t="n">
        <v>6.38017792872707</v>
      </c>
      <c r="L22" s="0" t="n">
        <v>4.16868844190681</v>
      </c>
      <c r="M22" s="0" t="n">
        <v>1.53050006438205</v>
      </c>
      <c r="N22" s="0" t="n">
        <v>0.137113847397159</v>
      </c>
      <c r="O22" s="0" t="n">
        <v>-2.15899324759414</v>
      </c>
      <c r="P22" s="0" t="n">
        <v>14.9193491050483</v>
      </c>
      <c r="Q22" s="0" t="n">
        <v>-2.15899324759414</v>
      </c>
      <c r="R22" s="0" t="n">
        <v>14.9193491050483</v>
      </c>
    </row>
    <row r="23" customFormat="false" ht="16.4" hidden="false" customHeight="false" outlineLevel="0" collapsed="false">
      <c r="A23" s="84" t="s">
        <v>133</v>
      </c>
      <c r="B23" s="114" t="n">
        <v>112330</v>
      </c>
      <c r="C23" s="95" t="n">
        <v>166872</v>
      </c>
      <c r="D23" s="94" t="n">
        <v>30.4</v>
      </c>
      <c r="E23" s="95" t="n">
        <v>2752</v>
      </c>
      <c r="F23" s="95" t="n">
        <v>4177000</v>
      </c>
      <c r="G23" s="116" t="n">
        <v>41270</v>
      </c>
      <c r="H23" s="87" t="n">
        <v>7684</v>
      </c>
      <c r="J23" s="0" t="s">
        <v>113</v>
      </c>
      <c r="K23" s="0" t="n">
        <v>0.00610382324385685</v>
      </c>
      <c r="L23" s="0" t="n">
        <v>0.00775859707880532</v>
      </c>
      <c r="M23" s="0" t="n">
        <v>0.786717389994523</v>
      </c>
      <c r="N23" s="0" t="n">
        <v>0.438055671513501</v>
      </c>
      <c r="O23" s="0" t="n">
        <v>-0.00978894242267969</v>
      </c>
      <c r="P23" s="0" t="n">
        <v>0.0219965889103934</v>
      </c>
      <c r="Q23" s="0" t="n">
        <v>-0.00978894242267969</v>
      </c>
      <c r="R23" s="0" t="n">
        <v>0.0219965889103934</v>
      </c>
    </row>
    <row r="24" customFormat="false" ht="16.4" hidden="false" customHeight="false" outlineLevel="0" collapsed="false">
      <c r="A24" s="84" t="s">
        <v>134</v>
      </c>
      <c r="B24" s="114" t="n">
        <v>1016</v>
      </c>
      <c r="C24" s="95" t="n">
        <v>1741</v>
      </c>
      <c r="D24" s="94" t="n">
        <v>41.9</v>
      </c>
      <c r="E24" s="94" t="n">
        <v>853</v>
      </c>
      <c r="F24" s="95" t="n">
        <v>310784</v>
      </c>
      <c r="G24" s="90" t="n">
        <v>5011.94</v>
      </c>
      <c r="H24" s="87" t="n">
        <v>690</v>
      </c>
      <c r="J24" s="0" t="s">
        <v>114</v>
      </c>
      <c r="K24" s="0" t="n">
        <v>-0.535020609705452</v>
      </c>
      <c r="L24" s="0" t="n">
        <v>0.583107109579339</v>
      </c>
      <c r="M24" s="0" t="n">
        <v>-0.917534018906789</v>
      </c>
      <c r="N24" s="0" t="n">
        <v>0.366699057393205</v>
      </c>
      <c r="O24" s="0" t="n">
        <v>-1.72946137739935</v>
      </c>
      <c r="P24" s="0" t="n">
        <v>0.659420157988447</v>
      </c>
      <c r="Q24" s="0" t="n">
        <v>-1.72946137739935</v>
      </c>
      <c r="R24" s="0" t="n">
        <v>0.659420157988447</v>
      </c>
    </row>
    <row r="25" customFormat="false" ht="16.4" hidden="false" customHeight="false" outlineLevel="0" collapsed="false">
      <c r="A25" s="84" t="s">
        <v>135</v>
      </c>
      <c r="B25" s="114" t="n">
        <v>29173</v>
      </c>
      <c r="C25" s="95" t="n">
        <v>60816</v>
      </c>
      <c r="D25" s="94" t="n">
        <v>33.9</v>
      </c>
      <c r="E25" s="94" t="n">
        <v>757</v>
      </c>
      <c r="F25" s="95" t="n">
        <v>1333906</v>
      </c>
      <c r="G25" s="90" t="n">
        <v>71245.68</v>
      </c>
      <c r="H25" s="87" t="n">
        <v>2455</v>
      </c>
      <c r="J25" s="108" t="s">
        <v>115</v>
      </c>
      <c r="K25" s="108" t="n">
        <v>-1.43122109282045</v>
      </c>
      <c r="L25" s="108" t="n">
        <v>2.70315573412507</v>
      </c>
      <c r="M25" s="108" t="n">
        <v>-0.529463054885255</v>
      </c>
      <c r="N25" s="108" t="n">
        <v>0.600657436432868</v>
      </c>
      <c r="O25" s="108" t="n">
        <v>-6.968384603987</v>
      </c>
      <c r="P25" s="108" t="n">
        <v>4.1059424183461</v>
      </c>
      <c r="Q25" s="108" t="n">
        <v>-6.968384603987</v>
      </c>
      <c r="R25" s="108" t="n">
        <v>4.1059424183461</v>
      </c>
    </row>
    <row r="26" customFormat="false" ht="15" hidden="false" customHeight="false" outlineLevel="0" collapsed="false">
      <c r="A26" s="84" t="s">
        <v>136</v>
      </c>
      <c r="B26" s="114" t="n">
        <v>258837</v>
      </c>
      <c r="C26" s="95" t="n">
        <v>218147</v>
      </c>
      <c r="D26" s="94" t="n">
        <v>40.9</v>
      </c>
      <c r="E26" s="95" t="n">
        <v>8405</v>
      </c>
      <c r="F26" s="95" t="n">
        <v>9575376</v>
      </c>
      <c r="G26" s="116" t="n">
        <v>11390</v>
      </c>
      <c r="H26" s="87" t="n">
        <v>15406</v>
      </c>
    </row>
    <row r="27" customFormat="false" ht="15" hidden="false" customHeight="false" outlineLevel="0" collapsed="false">
      <c r="A27" s="84" t="s">
        <v>137</v>
      </c>
      <c r="B27" s="114" t="n">
        <v>40377</v>
      </c>
      <c r="C27" s="95" t="n">
        <v>36849</v>
      </c>
      <c r="D27" s="94" t="n">
        <v>40.1</v>
      </c>
      <c r="E27" s="95" t="n">
        <v>2743</v>
      </c>
      <c r="F27" s="95" t="n">
        <v>3014507</v>
      </c>
      <c r="G27" s="116" t="n">
        <v>17280</v>
      </c>
      <c r="H27" s="87" t="n">
        <v>4204</v>
      </c>
    </row>
    <row r="28" customFormat="false" ht="15" hidden="false" customHeight="false" outlineLevel="0" collapsed="false">
      <c r="A28" s="84" t="s">
        <v>138</v>
      </c>
      <c r="B28" s="114" t="n">
        <v>194718</v>
      </c>
      <c r="C28" s="95" t="n">
        <v>132795</v>
      </c>
      <c r="D28" s="94" t="n">
        <v>40</v>
      </c>
      <c r="E28" s="95" t="n">
        <v>8842</v>
      </c>
      <c r="F28" s="95" t="n">
        <v>5289793</v>
      </c>
      <c r="G28" s="116" t="n">
        <v>8090</v>
      </c>
      <c r="H28" s="87" t="n">
        <v>7298</v>
      </c>
    </row>
    <row r="29" customFormat="false" ht="15" hidden="false" customHeight="false" outlineLevel="0" collapsed="false">
      <c r="A29" s="91" t="s">
        <v>139</v>
      </c>
      <c r="B29" s="92" t="n">
        <f aca="false">MEDIAN(B2:B28,B30:B34,B36)</f>
        <v>43925</v>
      </c>
      <c r="C29" s="93" t="n">
        <f aca="false">MEDIAN(C2:C28,C30:C34)</f>
        <v>33967</v>
      </c>
      <c r="D29" s="94" t="n">
        <v>43.6</v>
      </c>
      <c r="E29" s="95" t="n">
        <v>2907</v>
      </c>
      <c r="F29" s="95" t="n">
        <v>1711249</v>
      </c>
      <c r="G29" s="90" t="n">
        <v>5322.68</v>
      </c>
      <c r="H29" s="87" t="n">
        <v>2392</v>
      </c>
      <c r="J29" s="0" t="s">
        <v>195</v>
      </c>
      <c r="N29" s="0" t="s">
        <v>196</v>
      </c>
    </row>
    <row r="30" customFormat="false" ht="15" hidden="false" customHeight="false" outlineLevel="0" collapsed="false">
      <c r="A30" s="84" t="s">
        <v>140</v>
      </c>
      <c r="B30" s="114" t="n">
        <v>3870</v>
      </c>
      <c r="C30" s="95" t="n">
        <v>6997</v>
      </c>
      <c r="D30" s="94" t="n">
        <v>40.3</v>
      </c>
      <c r="E30" s="94" t="n">
        <v>907</v>
      </c>
      <c r="F30" s="95" t="n">
        <v>1415171</v>
      </c>
      <c r="G30" s="116" t="n">
        <v>14820</v>
      </c>
      <c r="H30" s="87" t="n">
        <v>2466</v>
      </c>
    </row>
    <row r="31" customFormat="false" ht="15" hidden="false" customHeight="false" outlineLevel="0" collapsed="false">
      <c r="A31" s="84" t="s">
        <v>141</v>
      </c>
      <c r="B31" s="114" t="n">
        <v>14913</v>
      </c>
      <c r="C31" s="94" t="n">
        <v>15.42</v>
      </c>
      <c r="D31" s="94" t="n">
        <v>39.4</v>
      </c>
      <c r="E31" s="94" t="n">
        <v>355</v>
      </c>
      <c r="F31" s="95" t="n">
        <v>636857</v>
      </c>
      <c r="G31" s="116" t="n">
        <v>18660</v>
      </c>
      <c r="H31" s="87" t="n">
        <v>883</v>
      </c>
      <c r="J31" s="102" t="s">
        <v>197</v>
      </c>
      <c r="K31" s="102" t="s">
        <v>198</v>
      </c>
      <c r="L31" s="102" t="s">
        <v>199</v>
      </c>
      <c r="N31" s="102" t="s">
        <v>200</v>
      </c>
      <c r="O31" s="102" t="s">
        <v>109</v>
      </c>
    </row>
    <row r="32" customFormat="false" ht="15" hidden="false" customHeight="false" outlineLevel="0" collapsed="false">
      <c r="A32" s="84" t="s">
        <v>12</v>
      </c>
      <c r="B32" s="114" t="n">
        <v>343875</v>
      </c>
      <c r="C32" s="95" t="n">
        <v>342114</v>
      </c>
      <c r="D32" s="94" t="n">
        <v>37.8</v>
      </c>
      <c r="E32" s="95" t="n">
        <v>13188</v>
      </c>
      <c r="F32" s="95" t="n">
        <v>9448336</v>
      </c>
      <c r="G32" s="116" t="n">
        <v>23440</v>
      </c>
      <c r="H32" s="87" t="n">
        <v>17634</v>
      </c>
      <c r="J32" s="0" t="n">
        <v>1</v>
      </c>
      <c r="K32" s="0" t="n">
        <v>75934.1165422542</v>
      </c>
      <c r="L32" s="0" t="n">
        <v>-19245.1165422542</v>
      </c>
      <c r="N32" s="0" t="n">
        <v>1.42857142857143</v>
      </c>
      <c r="O32" s="0" t="n">
        <v>1016</v>
      </c>
    </row>
    <row r="33" customFormat="false" ht="15" hidden="false" customHeight="false" outlineLevel="0" collapsed="false">
      <c r="A33" s="84" t="s">
        <v>142</v>
      </c>
      <c r="B33" s="114" t="n">
        <v>55830</v>
      </c>
      <c r="C33" s="94" t="n">
        <v>134.24</v>
      </c>
      <c r="D33" s="94" t="n">
        <v>36.8</v>
      </c>
      <c r="E33" s="95" t="n">
        <v>1772</v>
      </c>
      <c r="F33" s="95" t="n">
        <v>2662142</v>
      </c>
      <c r="G33" s="116" t="n">
        <v>46170</v>
      </c>
      <c r="H33" s="87" t="n">
        <v>4505</v>
      </c>
      <c r="J33" s="0" t="n">
        <v>2</v>
      </c>
      <c r="K33" s="0" t="n">
        <v>80704.0511312371</v>
      </c>
      <c r="L33" s="0" t="n">
        <v>9089.94886876294</v>
      </c>
      <c r="N33" s="0" t="n">
        <v>4.28571428571429</v>
      </c>
      <c r="O33" s="0" t="n">
        <v>3870</v>
      </c>
    </row>
    <row r="34" customFormat="false" ht="15" hidden="false" customHeight="false" outlineLevel="0" collapsed="false">
      <c r="A34" s="84" t="s">
        <v>143</v>
      </c>
      <c r="B34" s="114" t="n">
        <v>116631</v>
      </c>
      <c r="C34" s="95" t="n">
        <v>153627</v>
      </c>
      <c r="D34" s="94" t="n">
        <v>35.4</v>
      </c>
      <c r="E34" s="95" t="n">
        <v>1476</v>
      </c>
      <c r="F34" s="95" t="n">
        <v>2915374</v>
      </c>
      <c r="G34" s="96" t="n">
        <v>79813.53</v>
      </c>
      <c r="H34" s="87" t="n">
        <v>4152</v>
      </c>
      <c r="J34" s="0" t="n">
        <v>3</v>
      </c>
      <c r="K34" s="0" t="n">
        <v>55099.1771141046</v>
      </c>
      <c r="L34" s="0" t="n">
        <v>-25629.1771141046</v>
      </c>
      <c r="N34" s="0" t="n">
        <v>7.14285714285714</v>
      </c>
      <c r="O34" s="0" t="n">
        <v>4046</v>
      </c>
    </row>
    <row r="35" customFormat="false" ht="15" hidden="false" customHeight="false" outlineLevel="0" collapsed="false">
      <c r="A35" s="84" t="s">
        <v>144</v>
      </c>
      <c r="B35" s="114" t="n">
        <f aca="false">MEDIAN(B2:B34,B36)</f>
        <v>43925</v>
      </c>
      <c r="C35" s="94" t="n">
        <f aca="false">MEDIAN(C2:C34,C36)</f>
        <v>35408</v>
      </c>
      <c r="D35" s="94" t="n">
        <v>47.6</v>
      </c>
      <c r="E35" s="95" t="n">
        <v>20395</v>
      </c>
      <c r="F35" s="95" t="n">
        <v>12536442</v>
      </c>
      <c r="G35" s="96" t="n">
        <v>10523.53</v>
      </c>
      <c r="H35" s="87" t="n">
        <v>24407</v>
      </c>
      <c r="J35" s="0" t="n">
        <v>4</v>
      </c>
      <c r="K35" s="0" t="n">
        <v>42077.1206970259</v>
      </c>
      <c r="L35" s="0" t="n">
        <v>-12426.1206970259</v>
      </c>
      <c r="N35" s="0" t="n">
        <v>10</v>
      </c>
      <c r="O35" s="0" t="n">
        <v>8255</v>
      </c>
    </row>
    <row r="36" customFormat="false" ht="15" hidden="false" customHeight="false" outlineLevel="0" collapsed="false">
      <c r="A36" s="84" t="s">
        <v>145</v>
      </c>
      <c r="B36" s="114" t="n">
        <v>299183</v>
      </c>
      <c r="C36" s="95" t="n">
        <v>631452</v>
      </c>
      <c r="D36" s="94" t="n">
        <v>37.1</v>
      </c>
      <c r="E36" s="95" t="n">
        <v>14756</v>
      </c>
      <c r="F36" s="95" t="n">
        <v>15640063</v>
      </c>
      <c r="G36" s="96" t="n">
        <v>42822.08</v>
      </c>
      <c r="H36" s="97" t="n">
        <f aca="false">MEDIAN(H2:H35)</f>
        <v>2711</v>
      </c>
      <c r="J36" s="0" t="n">
        <v>5</v>
      </c>
      <c r="K36" s="0" t="n">
        <v>27569.7947073599</v>
      </c>
      <c r="L36" s="0" t="n">
        <v>-10386.7947073599</v>
      </c>
      <c r="N36" s="0" t="n">
        <v>12.8571428571429</v>
      </c>
      <c r="O36" s="0" t="n">
        <v>12644</v>
      </c>
    </row>
    <row r="37" customFormat="false" ht="15" hidden="false" customHeight="false" outlineLevel="0" collapsed="false">
      <c r="J37" s="0" t="n">
        <v>6</v>
      </c>
      <c r="K37" s="0" t="n">
        <v>42376.6600813791</v>
      </c>
      <c r="L37" s="0" t="n">
        <v>-16692.6600813791</v>
      </c>
      <c r="N37" s="0" t="n">
        <v>15.7142857142857</v>
      </c>
      <c r="O37" s="0" t="n">
        <v>13003</v>
      </c>
    </row>
    <row r="38" customFormat="false" ht="15" hidden="false" customHeight="false" outlineLevel="0" collapsed="false">
      <c r="J38" s="0" t="n">
        <v>7</v>
      </c>
      <c r="K38" s="0" t="n">
        <v>73765.5142913419</v>
      </c>
      <c r="L38" s="0" t="n">
        <v>-29140.5142913419</v>
      </c>
      <c r="N38" s="0" t="n">
        <v>18.5714285714286</v>
      </c>
      <c r="O38" s="0" t="n">
        <v>14913</v>
      </c>
    </row>
    <row r="39" customFormat="false" ht="15" hidden="false" customHeight="false" outlineLevel="0" collapsed="false">
      <c r="J39" s="0" t="n">
        <v>8</v>
      </c>
      <c r="K39" s="0" t="n">
        <v>36575.0320538303</v>
      </c>
      <c r="L39" s="0" t="n">
        <v>-23572.0320538303</v>
      </c>
      <c r="N39" s="0" t="n">
        <v>21.4285714285714</v>
      </c>
      <c r="O39" s="0" t="n">
        <v>16305</v>
      </c>
    </row>
    <row r="40" customFormat="false" ht="15" hidden="false" customHeight="false" outlineLevel="0" collapsed="false">
      <c r="J40" s="0" t="n">
        <v>9</v>
      </c>
      <c r="K40" s="0" t="n">
        <v>47630.5523717325</v>
      </c>
      <c r="L40" s="0" t="n">
        <v>-31325.5523717325</v>
      </c>
      <c r="N40" s="0" t="n">
        <v>24.2857142857143</v>
      </c>
      <c r="O40" s="0" t="n">
        <v>17183</v>
      </c>
    </row>
    <row r="41" customFormat="false" ht="15" hidden="false" customHeight="false" outlineLevel="0" collapsed="false">
      <c r="J41" s="0" t="n">
        <v>10</v>
      </c>
      <c r="K41" s="0" t="n">
        <v>239689.083200423</v>
      </c>
      <c r="L41" s="0" t="n">
        <v>84827.9167995772</v>
      </c>
      <c r="N41" s="0" t="n">
        <v>27.1428571428571</v>
      </c>
      <c r="O41" s="0" t="n">
        <v>20119</v>
      </c>
    </row>
    <row r="42" customFormat="false" ht="15" hidden="false" customHeight="false" outlineLevel="0" collapsed="false">
      <c r="J42" s="0" t="n">
        <v>11</v>
      </c>
      <c r="K42" s="0" t="n">
        <v>363499.167999865</v>
      </c>
      <c r="L42" s="0" t="n">
        <v>-47617.1679998649</v>
      </c>
      <c r="N42" s="0" t="n">
        <v>30</v>
      </c>
      <c r="O42" s="0" t="n">
        <v>25684</v>
      </c>
    </row>
    <row r="43" customFormat="false" ht="15" hidden="false" customHeight="false" outlineLevel="0" collapsed="false">
      <c r="J43" s="0" t="n">
        <v>12</v>
      </c>
      <c r="K43" s="0" t="n">
        <v>28965.3389105694</v>
      </c>
      <c r="L43" s="0" t="n">
        <v>80385.6610894306</v>
      </c>
      <c r="N43" s="0" t="n">
        <v>32.8571428571429</v>
      </c>
      <c r="O43" s="0" t="n">
        <v>29173</v>
      </c>
    </row>
    <row r="44" customFormat="false" ht="15" hidden="false" customHeight="false" outlineLevel="0" collapsed="false">
      <c r="J44" s="0" t="n">
        <v>13</v>
      </c>
      <c r="K44" s="0" t="n">
        <v>42550.2132411019</v>
      </c>
      <c r="L44" s="0" t="n">
        <v>674.786758898124</v>
      </c>
      <c r="N44" s="0" t="n">
        <v>35.7142857142857</v>
      </c>
      <c r="O44" s="0" t="n">
        <v>29470</v>
      </c>
    </row>
    <row r="45" customFormat="false" ht="15" hidden="false" customHeight="false" outlineLevel="0" collapsed="false">
      <c r="J45" s="0" t="n">
        <v>14</v>
      </c>
      <c r="K45" s="0" t="n">
        <v>7845.29407062878</v>
      </c>
      <c r="L45" s="0" t="n">
        <v>-3799.29407062878</v>
      </c>
      <c r="N45" s="0" t="n">
        <v>38.5714285714286</v>
      </c>
      <c r="O45" s="0" t="n">
        <v>29651</v>
      </c>
    </row>
    <row r="46" customFormat="false" ht="15" hidden="false" customHeight="false" outlineLevel="0" collapsed="false">
      <c r="J46" s="0" t="n">
        <v>15</v>
      </c>
      <c r="K46" s="0" t="n">
        <v>52467.5957809065</v>
      </c>
      <c r="L46" s="0" t="n">
        <v>14692.4042190935</v>
      </c>
      <c r="N46" s="0" t="n">
        <v>41.4285714285714</v>
      </c>
      <c r="O46" s="0" t="n">
        <v>40377</v>
      </c>
    </row>
    <row r="47" customFormat="false" ht="15" hidden="false" customHeight="false" outlineLevel="0" collapsed="false">
      <c r="J47" s="0" t="n">
        <v>16</v>
      </c>
      <c r="K47" s="0" t="n">
        <v>255993.348631152</v>
      </c>
      <c r="L47" s="0" t="n">
        <v>-109038.348631152</v>
      </c>
      <c r="N47" s="0" t="n">
        <v>44.2857142857143</v>
      </c>
      <c r="O47" s="0" t="n">
        <v>43225</v>
      </c>
    </row>
    <row r="48" customFormat="false" ht="15" hidden="false" customHeight="false" outlineLevel="0" collapsed="false">
      <c r="J48" s="0" t="n">
        <v>17</v>
      </c>
      <c r="K48" s="0" t="n">
        <v>38918.2496958864</v>
      </c>
      <c r="L48" s="0" t="n">
        <v>-18799.2496958864</v>
      </c>
      <c r="N48" s="0" t="n">
        <v>47.1428571428571</v>
      </c>
      <c r="O48" s="0" t="n">
        <v>43925</v>
      </c>
    </row>
    <row r="49" customFormat="false" ht="15" hidden="false" customHeight="false" outlineLevel="0" collapsed="false">
      <c r="J49" s="0" t="n">
        <v>18</v>
      </c>
      <c r="K49" s="0" t="n">
        <v>49828.4351287295</v>
      </c>
      <c r="L49" s="0" t="n">
        <v>616.564871270457</v>
      </c>
      <c r="N49" s="0" t="n">
        <v>50</v>
      </c>
      <c r="O49" s="0" t="n">
        <v>43925</v>
      </c>
    </row>
    <row r="50" customFormat="false" ht="15" hidden="false" customHeight="false" outlineLevel="0" collapsed="false">
      <c r="J50" s="0" t="n">
        <v>19</v>
      </c>
      <c r="K50" s="0" t="n">
        <v>3798.56274753278</v>
      </c>
      <c r="L50" s="0" t="n">
        <v>8845.43725246722</v>
      </c>
      <c r="N50" s="0" t="n">
        <v>52.8571428571429</v>
      </c>
      <c r="O50" s="0" t="n">
        <v>43925</v>
      </c>
    </row>
    <row r="51" customFormat="false" ht="15" hidden="false" customHeight="false" outlineLevel="0" collapsed="false">
      <c r="J51" s="0" t="n">
        <v>20</v>
      </c>
      <c r="K51" s="0" t="n">
        <v>32593.4752032331</v>
      </c>
      <c r="L51" s="0" t="n">
        <v>-24338.4752032331</v>
      </c>
      <c r="N51" s="0" t="n">
        <v>55.7142857142857</v>
      </c>
      <c r="O51" s="0" t="n">
        <v>44625</v>
      </c>
    </row>
    <row r="52" customFormat="false" ht="15" hidden="false" customHeight="false" outlineLevel="0" collapsed="false">
      <c r="J52" s="0" t="n">
        <v>21</v>
      </c>
      <c r="K52" s="0" t="n">
        <v>11018.4087474014</v>
      </c>
      <c r="L52" s="0" t="n">
        <v>32906.5912525986</v>
      </c>
      <c r="N52" s="0" t="n">
        <v>58.5714285714286</v>
      </c>
      <c r="O52" s="0" t="n">
        <v>50445</v>
      </c>
    </row>
    <row r="53" customFormat="false" ht="15" hidden="false" customHeight="false" outlineLevel="0" collapsed="false">
      <c r="J53" s="0" t="n">
        <v>22</v>
      </c>
      <c r="K53" s="0" t="n">
        <v>134757.586421961</v>
      </c>
      <c r="L53" s="0" t="n">
        <v>-22427.5864219611</v>
      </c>
      <c r="N53" s="0" t="n">
        <v>61.4285714285714</v>
      </c>
      <c r="O53" s="0" t="n">
        <v>55830</v>
      </c>
    </row>
    <row r="54" customFormat="false" ht="15" hidden="false" customHeight="false" outlineLevel="0" collapsed="false">
      <c r="J54" s="0" t="n">
        <v>23</v>
      </c>
      <c r="K54" s="0" t="n">
        <v>22678.9869512971</v>
      </c>
      <c r="L54" s="0" t="n">
        <v>-21662.9869512971</v>
      </c>
      <c r="N54" s="0" t="n">
        <v>64.2857142857143</v>
      </c>
      <c r="O54" s="0" t="n">
        <v>56689</v>
      </c>
    </row>
    <row r="55" customFormat="false" ht="15" hidden="false" customHeight="false" outlineLevel="0" collapsed="false">
      <c r="J55" s="0" t="n">
        <v>24</v>
      </c>
      <c r="K55" s="0" t="n">
        <v>55586.5160873518</v>
      </c>
      <c r="L55" s="0" t="n">
        <v>-26413.5160873518</v>
      </c>
      <c r="N55" s="0" t="n">
        <v>67.1428571428572</v>
      </c>
      <c r="O55" s="0" t="n">
        <v>67160</v>
      </c>
    </row>
    <row r="56" customFormat="false" ht="15" hidden="false" customHeight="false" outlineLevel="0" collapsed="false">
      <c r="J56" s="0" t="n">
        <v>25</v>
      </c>
      <c r="K56" s="0" t="n">
        <v>142346.383258918</v>
      </c>
      <c r="L56" s="0" t="n">
        <v>116490.616741082</v>
      </c>
      <c r="N56" s="0" t="n">
        <v>70</v>
      </c>
      <c r="O56" s="0" t="n">
        <v>89794</v>
      </c>
    </row>
    <row r="57" customFormat="false" ht="15" hidden="false" customHeight="false" outlineLevel="0" collapsed="false">
      <c r="J57" s="0" t="n">
        <v>26</v>
      </c>
      <c r="K57" s="0" t="n">
        <v>57588.1554430868</v>
      </c>
      <c r="L57" s="0" t="n">
        <v>-17211.1554430868</v>
      </c>
      <c r="N57" s="0" t="n">
        <v>72.8571428571429</v>
      </c>
      <c r="O57" s="0" t="n">
        <v>109351</v>
      </c>
    </row>
    <row r="58" customFormat="false" ht="15" hidden="false" customHeight="false" outlineLevel="0" collapsed="false">
      <c r="J58" s="0" t="n">
        <v>27</v>
      </c>
      <c r="K58" s="0" t="n">
        <v>125929.029519826</v>
      </c>
      <c r="L58" s="0" t="n">
        <v>68788.9704801736</v>
      </c>
      <c r="N58" s="0" t="n">
        <v>75.7142857142857</v>
      </c>
      <c r="O58" s="0" t="n">
        <v>112330</v>
      </c>
    </row>
    <row r="59" customFormat="false" ht="15" hidden="false" customHeight="false" outlineLevel="0" collapsed="false">
      <c r="J59" s="0" t="n">
        <v>28</v>
      </c>
      <c r="K59" s="0" t="n">
        <v>34562.6254353928</v>
      </c>
      <c r="L59" s="0" t="n">
        <v>9362.37456460723</v>
      </c>
      <c r="N59" s="0" t="n">
        <v>78.5714285714286</v>
      </c>
      <c r="O59" s="0" t="n">
        <v>116631</v>
      </c>
    </row>
    <row r="60" customFormat="false" ht="15" hidden="false" customHeight="false" outlineLevel="0" collapsed="false">
      <c r="J60" s="0" t="n">
        <v>29</v>
      </c>
      <c r="K60" s="0" t="n">
        <v>34041.9065295411</v>
      </c>
      <c r="L60" s="0" t="n">
        <v>-30171.906529541</v>
      </c>
      <c r="N60" s="0" t="n">
        <v>81.4285714285714</v>
      </c>
      <c r="O60" s="0" t="n">
        <v>146955</v>
      </c>
    </row>
    <row r="61" customFormat="false" ht="15" hidden="false" customHeight="false" outlineLevel="0" collapsed="false">
      <c r="J61" s="0" t="n">
        <v>30</v>
      </c>
      <c r="K61" s="0" t="n">
        <v>31282.0464746654</v>
      </c>
      <c r="L61" s="0" t="n">
        <v>-16369.0464746654</v>
      </c>
      <c r="N61" s="0" t="n">
        <v>84.2857142857143</v>
      </c>
      <c r="O61" s="0" t="n">
        <v>194718</v>
      </c>
    </row>
    <row r="62" customFormat="false" ht="15" hidden="false" customHeight="false" outlineLevel="0" collapsed="false">
      <c r="J62" s="0" t="n">
        <v>31</v>
      </c>
      <c r="K62" s="0" t="n">
        <v>202844.67299326</v>
      </c>
      <c r="L62" s="0" t="n">
        <v>141030.32700674</v>
      </c>
      <c r="N62" s="0" t="n">
        <v>87.1428571428572</v>
      </c>
      <c r="O62" s="0" t="n">
        <v>258837</v>
      </c>
    </row>
    <row r="63" customFormat="false" ht="15" hidden="false" customHeight="false" outlineLevel="0" collapsed="false">
      <c r="J63" s="0" t="n">
        <v>32</v>
      </c>
      <c r="K63" s="0" t="n">
        <v>51131.5970144691</v>
      </c>
      <c r="L63" s="0" t="n">
        <v>4698.4029855309</v>
      </c>
      <c r="N63" s="0" t="n">
        <v>90</v>
      </c>
      <c r="O63" s="0" t="n">
        <v>299183</v>
      </c>
    </row>
    <row r="64" customFormat="false" ht="15" hidden="false" customHeight="false" outlineLevel="0" collapsed="false">
      <c r="J64" s="0" t="n">
        <v>33</v>
      </c>
      <c r="K64" s="0" t="n">
        <v>66116.0678273653</v>
      </c>
      <c r="L64" s="0" t="n">
        <v>50514.9321726347</v>
      </c>
      <c r="N64" s="0" t="n">
        <v>92.8571428571429</v>
      </c>
      <c r="O64" s="0" t="n">
        <v>315882</v>
      </c>
    </row>
    <row r="65" customFormat="false" ht="15" hidden="false" customHeight="false" outlineLevel="0" collapsed="false">
      <c r="J65" s="0" t="n">
        <v>34</v>
      </c>
      <c r="K65" s="0" t="n">
        <v>149936.677990628</v>
      </c>
      <c r="L65" s="0" t="n">
        <v>-106011.677990628</v>
      </c>
      <c r="N65" s="0" t="n">
        <v>95.7142857142857</v>
      </c>
      <c r="O65" s="0" t="n">
        <v>324517</v>
      </c>
    </row>
    <row r="66" customFormat="false" ht="15" hidden="false" customHeight="false" outlineLevel="0" collapsed="false">
      <c r="J66" s="108" t="n">
        <v>35</v>
      </c>
      <c r="K66" s="108" t="n">
        <v>309829.555704539</v>
      </c>
      <c r="L66" s="108" t="n">
        <v>-10646.5557045389</v>
      </c>
      <c r="N66" s="108" t="n">
        <v>98.5714285714286</v>
      </c>
      <c r="O66" s="108" t="n">
        <v>343875</v>
      </c>
    </row>
  </sheetData>
  <mergeCells count="1">
    <mergeCell ref="J3:K3"/>
  </mergeCells>
  <conditionalFormatting sqref="N19:N25">
    <cfRule type="cellIs" priority="2" operator="greaterThan" aboveAverage="0" equalAverage="0" bottom="0" percent="0" rank="0" text="" dxfId="2">
      <formula>0.05</formula>
    </cfRule>
    <cfRule type="cellIs" priority="3" operator="greaterThan" aboveAverage="0" equalAverage="0" bottom="0" percent="0" rank="0" text="" dxfId="3">
      <formula>0.05</formula>
    </cfRule>
  </conditionalFormatting>
  <hyperlinks>
    <hyperlink ref="B1" r:id="rId2" display="EMIGRAZIONE"/>
    <hyperlink ref="C1" r:id="rId3" display="immigrazione 2015"/>
    <hyperlink ref="D1" r:id="rId4" display="Numero medio di ore di lavoro settimanali  2015"/>
    <hyperlink ref="E1" r:id="rId5" display="pensioni 2015"/>
    <hyperlink ref="F1" r:id="rId6" display="persone a rischio povertà 2015"/>
    <hyperlink ref="G1" r:id="rId7" display="PIL reale pro capite"/>
    <hyperlink ref="H1" r:id="rId8" display="Occupazione e attività "/>
    <hyperlink ref="G15" r:id="rId9" display="https://data.worldbank.org/indicator/NY.GDP.PCAP.CD?locations=EU"/>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0"/>
  <legacyDrawing r:id="rId1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4"/>
  <sheetViews>
    <sheetView showFormulas="false" showGridLines="true" showRowColHeaders="true" showZeros="true" rightToLeft="false" tabSelected="false" showOutlineSymbols="true" defaultGridColor="true" view="normal" topLeftCell="G26" colorId="64" zoomScale="100" zoomScaleNormal="100" zoomScalePageLayoutView="100" workbookViewId="0">
      <selection pane="topLeft" activeCell="H28" activeCellId="0" sqref="1:1048576"/>
    </sheetView>
  </sheetViews>
  <sheetFormatPr defaultColWidth="8.59765625" defaultRowHeight="15" customHeight="false" zeroHeight="false" outlineLevelRow="0" outlineLevelCol="0"/>
  <cols>
    <col collapsed="false" customWidth="true" hidden="false" outlineLevel="0" max="1" min="1" style="0" width="17"/>
    <col collapsed="false" customWidth="true" hidden="false" outlineLevel="0" max="2" min="2" style="0" width="14"/>
    <col collapsed="false" customWidth="true" hidden="false" outlineLevel="0" max="3" min="3" style="0" width="17.14"/>
    <col collapsed="false" customWidth="true" hidden="false" outlineLevel="0" max="4" min="4" style="0" width="39.57"/>
    <col collapsed="false" customWidth="true" hidden="false" outlineLevel="0" max="5" min="5" style="0" width="14.43"/>
    <col collapsed="false" customWidth="true" hidden="false" outlineLevel="0" max="6" min="6" style="0" width="14"/>
    <col collapsed="false" customWidth="true" hidden="false" outlineLevel="0" max="7" min="7" style="0" width="42.57"/>
    <col collapsed="false" customWidth="true" hidden="false" outlineLevel="0" max="8" min="8" style="0" width="20.57"/>
    <col collapsed="false" customWidth="true" hidden="false" outlineLevel="0" max="9" min="9" style="0" width="15"/>
    <col collapsed="false" customWidth="true" hidden="false" outlineLevel="0" max="11" min="11" style="0" width="19.28"/>
    <col collapsed="false" customWidth="true" hidden="false" outlineLevel="0" max="12" min="12" style="0" width="13.43"/>
    <col collapsed="false" customWidth="true" hidden="false" outlineLevel="0" max="13" min="13" style="0" width="17.29"/>
    <col collapsed="false" customWidth="true" hidden="false" outlineLevel="0" max="14" min="14" style="0" width="15.57"/>
    <col collapsed="false" customWidth="true" hidden="false" outlineLevel="0" max="15" min="15" style="0" width="15.43"/>
  </cols>
  <sheetData>
    <row r="1" customFormat="false" ht="16.4" hidden="false" customHeight="false" outlineLevel="0" collapsed="false">
      <c r="A1" s="72" t="s">
        <v>108</v>
      </c>
      <c r="B1" s="73" t="s">
        <v>109</v>
      </c>
      <c r="C1" s="74" t="s">
        <v>110</v>
      </c>
      <c r="D1" s="75" t="s">
        <v>111</v>
      </c>
      <c r="E1" s="76" t="s">
        <v>112</v>
      </c>
      <c r="G1" s="121" t="s">
        <v>171</v>
      </c>
      <c r="H1" s="121"/>
    </row>
    <row r="2" customFormat="false" ht="15" hidden="false" customHeight="false" outlineLevel="0" collapsed="false">
      <c r="A2" s="78" t="s">
        <v>116</v>
      </c>
      <c r="B2" s="114" t="n">
        <v>56689</v>
      </c>
      <c r="C2" s="95" t="n">
        <v>166323</v>
      </c>
      <c r="D2" s="115" t="n">
        <v>36.9</v>
      </c>
      <c r="E2" s="95" t="n">
        <v>1434</v>
      </c>
    </row>
    <row r="3" customFormat="false" ht="15" hidden="false" customHeight="false" outlineLevel="0" collapsed="false">
      <c r="A3" s="84" t="s">
        <v>117</v>
      </c>
      <c r="B3" s="114" t="n">
        <v>89794</v>
      </c>
      <c r="C3" s="95" t="n">
        <v>146626</v>
      </c>
      <c r="D3" s="94" t="n">
        <v>37.1</v>
      </c>
      <c r="E3" s="95" t="n">
        <v>2397</v>
      </c>
      <c r="G3" s="103" t="s">
        <v>172</v>
      </c>
      <c r="H3" s="103"/>
    </row>
    <row r="4" customFormat="false" ht="15" hidden="false" customHeight="false" outlineLevel="0" collapsed="false">
      <c r="A4" s="84" t="s">
        <v>118</v>
      </c>
      <c r="B4" s="114" t="n">
        <v>29470</v>
      </c>
      <c r="C4" s="95" t="n">
        <v>25223</v>
      </c>
      <c r="D4" s="94" t="n">
        <v>40.9</v>
      </c>
      <c r="E4" s="95" t="n">
        <v>3124</v>
      </c>
      <c r="G4" s="0" t="s">
        <v>173</v>
      </c>
      <c r="H4" s="105" t="n">
        <v>0.856095060767697</v>
      </c>
    </row>
    <row r="5" customFormat="false" ht="15" hidden="false" customHeight="false" outlineLevel="0" collapsed="false">
      <c r="A5" s="84" t="s">
        <v>119</v>
      </c>
      <c r="B5" s="114" t="n">
        <v>29651</v>
      </c>
      <c r="C5" s="95" t="n">
        <v>11706</v>
      </c>
      <c r="D5" s="94" t="n">
        <v>39.7</v>
      </c>
      <c r="E5" s="95" t="n">
        <v>1022</v>
      </c>
      <c r="G5" s="0" t="s">
        <v>174</v>
      </c>
      <c r="H5" s="117" t="n">
        <v>0.732898753070847</v>
      </c>
    </row>
    <row r="6" customFormat="false" ht="15" hidden="false" customHeight="false" outlineLevel="0" collapsed="false">
      <c r="A6" s="84" t="s">
        <v>120</v>
      </c>
      <c r="B6" s="114" t="n">
        <v>17183</v>
      </c>
      <c r="C6" s="95" t="n">
        <v>15183</v>
      </c>
      <c r="D6" s="94" t="n">
        <v>39.6</v>
      </c>
      <c r="E6" s="94" t="n">
        <v>192</v>
      </c>
      <c r="G6" s="0" t="s">
        <v>175</v>
      </c>
      <c r="H6" s="118" t="n">
        <v>0.70705024530351</v>
      </c>
    </row>
    <row r="7" customFormat="false" ht="15" hidden="false" customHeight="false" outlineLevel="0" collapsed="false">
      <c r="A7" s="84" t="s">
        <v>121</v>
      </c>
      <c r="B7" s="114" t="n">
        <v>25684</v>
      </c>
      <c r="C7" s="95" t="n">
        <v>29602</v>
      </c>
      <c r="D7" s="94" t="n">
        <v>40.7</v>
      </c>
      <c r="E7" s="95" t="n">
        <v>1342</v>
      </c>
      <c r="G7" s="0" t="s">
        <v>176</v>
      </c>
      <c r="H7" s="0" t="n">
        <v>55170.0345534807</v>
      </c>
    </row>
    <row r="8" customFormat="false" ht="15" hidden="false" customHeight="false" outlineLevel="0" collapsed="false">
      <c r="A8" s="84" t="s">
        <v>122</v>
      </c>
      <c r="B8" s="114" t="n">
        <v>44625</v>
      </c>
      <c r="C8" s="95" t="n">
        <v>78492</v>
      </c>
      <c r="D8" s="94" t="n">
        <v>33.9</v>
      </c>
      <c r="E8" s="95" t="n">
        <v>1045</v>
      </c>
      <c r="G8" s="108" t="s">
        <v>177</v>
      </c>
      <c r="H8" s="108" t="n">
        <v>35</v>
      </c>
    </row>
    <row r="9" customFormat="false" ht="15" hidden="false" customHeight="false" outlineLevel="0" collapsed="false">
      <c r="A9" s="84" t="s">
        <v>123</v>
      </c>
      <c r="B9" s="114" t="n">
        <v>13003</v>
      </c>
      <c r="C9" s="95" t="n">
        <v>15413</v>
      </c>
      <c r="D9" s="94" t="n">
        <v>39</v>
      </c>
      <c r="E9" s="94" t="n">
        <v>307</v>
      </c>
    </row>
    <row r="10" customFormat="false" ht="15" hidden="false" customHeight="false" outlineLevel="0" collapsed="false">
      <c r="A10" s="84" t="s">
        <v>124</v>
      </c>
      <c r="B10" s="114" t="n">
        <v>16305</v>
      </c>
      <c r="C10" s="95" t="n">
        <v>28746</v>
      </c>
      <c r="D10" s="94" t="n">
        <v>37.2</v>
      </c>
      <c r="E10" s="94" t="n">
        <v>910</v>
      </c>
      <c r="G10" s="104" t="s">
        <v>178</v>
      </c>
    </row>
    <row r="11" customFormat="false" ht="15" hidden="false" customHeight="false" outlineLevel="0" collapsed="false">
      <c r="A11" s="84" t="s">
        <v>13</v>
      </c>
      <c r="B11" s="114" t="n">
        <v>324517</v>
      </c>
      <c r="C11" s="95" t="n">
        <v>364221</v>
      </c>
      <c r="D11" s="94" t="n">
        <v>37.3</v>
      </c>
      <c r="E11" s="95" t="n">
        <v>11497</v>
      </c>
      <c r="G11" s="102"/>
      <c r="H11" s="102" t="s">
        <v>179</v>
      </c>
      <c r="I11" s="102" t="s">
        <v>180</v>
      </c>
      <c r="J11" s="102" t="s">
        <v>181</v>
      </c>
      <c r="K11" s="119" t="s">
        <v>182</v>
      </c>
      <c r="L11" s="119" t="s">
        <v>183</v>
      </c>
    </row>
    <row r="12" customFormat="false" ht="15" hidden="false" customHeight="false" outlineLevel="0" collapsed="false">
      <c r="A12" s="84" t="s">
        <v>11</v>
      </c>
      <c r="B12" s="114" t="n">
        <v>315882</v>
      </c>
      <c r="C12" s="95" t="n">
        <v>1549937</v>
      </c>
      <c r="D12" s="94" t="n">
        <v>35.5</v>
      </c>
      <c r="E12" s="94" t="n">
        <v>16.08</v>
      </c>
      <c r="G12" s="0" t="s">
        <v>184</v>
      </c>
      <c r="H12" s="0" t="n">
        <v>3</v>
      </c>
      <c r="I12" s="0" t="n">
        <v>258902517295.943</v>
      </c>
      <c r="J12" s="0" t="n">
        <v>86300839098.6477</v>
      </c>
      <c r="K12" s="120" t="n">
        <v>28.3536194687784</v>
      </c>
      <c r="L12" s="120" t="n">
        <v>5.11243814586287E-009</v>
      </c>
    </row>
    <row r="13" customFormat="false" ht="15" hidden="false" customHeight="false" outlineLevel="0" collapsed="false">
      <c r="A13" s="84" t="s">
        <v>125</v>
      </c>
      <c r="B13" s="114" t="n">
        <v>109351</v>
      </c>
      <c r="C13" s="95" t="n">
        <v>64446</v>
      </c>
      <c r="D13" s="94" t="n">
        <v>42.2</v>
      </c>
      <c r="E13" s="94" t="n">
        <v>3.47</v>
      </c>
      <c r="G13" s="0" t="s">
        <v>185</v>
      </c>
      <c r="H13" s="0" t="n">
        <v>31</v>
      </c>
      <c r="I13" s="0" t="n">
        <v>94355714091.5999</v>
      </c>
      <c r="J13" s="0" t="n">
        <v>3043732712.63225</v>
      </c>
    </row>
    <row r="14" customFormat="false" ht="15" hidden="false" customHeight="false" outlineLevel="0" collapsed="false">
      <c r="A14" s="84" t="s">
        <v>126</v>
      </c>
      <c r="B14" s="114" t="n">
        <v>43225</v>
      </c>
      <c r="C14" s="95" t="n">
        <v>58344</v>
      </c>
      <c r="D14" s="94" t="n">
        <v>39.9</v>
      </c>
      <c r="E14" s="94" t="n">
        <v>2.97</v>
      </c>
      <c r="G14" s="108" t="s">
        <v>186</v>
      </c>
      <c r="H14" s="108" t="n">
        <v>34</v>
      </c>
      <c r="I14" s="108" t="n">
        <v>353258231387.543</v>
      </c>
      <c r="J14" s="108"/>
      <c r="K14" s="108"/>
      <c r="L14" s="108"/>
    </row>
    <row r="15" customFormat="false" ht="15" hidden="false" customHeight="false" outlineLevel="0" collapsed="false">
      <c r="A15" s="84" t="s">
        <v>127</v>
      </c>
      <c r="B15" s="114" t="n">
        <v>4046</v>
      </c>
      <c r="C15" s="95" t="n">
        <v>5635</v>
      </c>
      <c r="D15" s="94" t="n">
        <v>39.8</v>
      </c>
      <c r="E15" s="94" t="n">
        <v>40</v>
      </c>
    </row>
    <row r="16" customFormat="false" ht="15" hidden="false" customHeight="false" outlineLevel="0" collapsed="false">
      <c r="A16" s="84" t="s">
        <v>128</v>
      </c>
      <c r="B16" s="114" t="n">
        <v>67160</v>
      </c>
      <c r="C16" s="95" t="n">
        <v>80792</v>
      </c>
      <c r="D16" s="94" t="n">
        <v>35.9</v>
      </c>
      <c r="E16" s="95" t="n">
        <v>1194</v>
      </c>
    </row>
    <row r="17" customFormat="false" ht="15" hidden="false" customHeight="false" outlineLevel="0" collapsed="false">
      <c r="A17" s="84" t="s">
        <v>14</v>
      </c>
      <c r="B17" s="114" t="n">
        <v>146955</v>
      </c>
      <c r="C17" s="95" t="n">
        <v>280078</v>
      </c>
      <c r="D17" s="94" t="n">
        <v>37.1</v>
      </c>
      <c r="E17" s="95" t="n">
        <v>17291</v>
      </c>
    </row>
    <row r="18" customFormat="false" ht="15" hidden="false" customHeight="false" outlineLevel="0" collapsed="false">
      <c r="A18" s="84" t="s">
        <v>129</v>
      </c>
      <c r="B18" s="114" t="n">
        <v>20119</v>
      </c>
      <c r="C18" s="95" t="n">
        <v>9479</v>
      </c>
      <c r="D18" s="94" t="n">
        <v>39.2</v>
      </c>
      <c r="E18" s="94" t="n">
        <v>588</v>
      </c>
    </row>
    <row r="19" customFormat="false" ht="15" hidden="false" customHeight="false" outlineLevel="0" collapsed="false">
      <c r="A19" s="84" t="s">
        <v>130</v>
      </c>
      <c r="B19" s="114" t="n">
        <v>50445</v>
      </c>
      <c r="C19" s="95" t="n">
        <v>31085</v>
      </c>
      <c r="D19" s="94" t="n">
        <v>38.5</v>
      </c>
      <c r="E19" s="94" t="n">
        <v>859</v>
      </c>
      <c r="G19" s="102"/>
      <c r="H19" s="102" t="s">
        <v>187</v>
      </c>
      <c r="I19" s="102" t="s">
        <v>176</v>
      </c>
      <c r="J19" s="102" t="s">
        <v>188</v>
      </c>
      <c r="K19" s="102" t="s">
        <v>189</v>
      </c>
      <c r="L19" s="102" t="s">
        <v>190</v>
      </c>
      <c r="M19" s="102" t="s">
        <v>191</v>
      </c>
      <c r="N19" s="102" t="s">
        <v>192</v>
      </c>
      <c r="O19" s="102" t="s">
        <v>193</v>
      </c>
    </row>
    <row r="20" customFormat="false" ht="16.4" hidden="false" customHeight="false" outlineLevel="0" collapsed="false">
      <c r="A20" s="84" t="s">
        <v>15</v>
      </c>
      <c r="B20" s="114" t="n">
        <v>12644</v>
      </c>
      <c r="C20" s="95" t="n">
        <v>23803</v>
      </c>
      <c r="D20" s="94" t="n">
        <v>37.5</v>
      </c>
      <c r="E20" s="94" t="n">
        <v>95</v>
      </c>
      <c r="G20" s="0" t="s">
        <v>194</v>
      </c>
      <c r="H20" s="0" t="n">
        <v>208089.259612265</v>
      </c>
      <c r="I20" s="0" t="n">
        <v>127203.099043639</v>
      </c>
      <c r="J20" s="0" t="n">
        <v>1.63588199640385</v>
      </c>
      <c r="K20" s="0" t="n">
        <v>0.111978824124763</v>
      </c>
      <c r="L20" s="0" t="n">
        <v>-51343.1713105312</v>
      </c>
      <c r="M20" s="0" t="n">
        <v>467521.690535061</v>
      </c>
      <c r="N20" s="0" t="n">
        <v>-51343.1713105312</v>
      </c>
      <c r="O20" s="0" t="n">
        <v>467521.690535061</v>
      </c>
    </row>
    <row r="21" customFormat="false" ht="16.4" hidden="false" customHeight="false" outlineLevel="0" collapsed="false">
      <c r="A21" s="84" t="s">
        <v>131</v>
      </c>
      <c r="B21" s="114" t="n">
        <v>8255</v>
      </c>
      <c r="C21" s="95" t="n">
        <v>18202</v>
      </c>
      <c r="D21" s="94" t="n">
        <v>38.7</v>
      </c>
      <c r="E21" s="94" t="n">
        <v>96</v>
      </c>
      <c r="G21" s="0" t="s">
        <v>110</v>
      </c>
      <c r="H21" s="0" t="n">
        <v>0.212421218704602</v>
      </c>
      <c r="I21" s="0" t="n">
        <v>0.0371825701939148</v>
      </c>
      <c r="J21" s="0" t="n">
        <v>5.71292456645095</v>
      </c>
      <c r="K21" s="113" t="n">
        <v>2.78327217737096E-006</v>
      </c>
      <c r="L21" s="0" t="n">
        <v>0.136586866822535</v>
      </c>
      <c r="M21" s="0" t="n">
        <v>0.28825557058667</v>
      </c>
      <c r="N21" s="0" t="n">
        <v>0.136586866822535</v>
      </c>
      <c r="O21" s="0" t="n">
        <v>0.28825557058667</v>
      </c>
    </row>
    <row r="22" customFormat="false" ht="16.4" hidden="false" customHeight="false" outlineLevel="0" collapsed="false">
      <c r="A22" s="84" t="s">
        <v>132</v>
      </c>
      <c r="B22" s="88" t="n">
        <f aca="false">MEDIAN(B2:B21,B23:B28,B30:B34,B36)</f>
        <v>43925</v>
      </c>
      <c r="C22" s="95" t="n">
        <v>4553</v>
      </c>
      <c r="D22" s="94" t="n">
        <v>43.7</v>
      </c>
      <c r="E22" s="89" t="n">
        <f aca="false">MEDIAN(E2:E21,E23:E36)</f>
        <v>1119.5</v>
      </c>
      <c r="G22" s="0" t="s">
        <v>111</v>
      </c>
      <c r="H22" s="0" t="n">
        <v>-4717.85164877851</v>
      </c>
      <c r="I22" s="0" t="n">
        <v>3271.74244174127</v>
      </c>
      <c r="J22" s="0" t="n">
        <v>-1.44199970895863</v>
      </c>
      <c r="K22" s="0" t="n">
        <v>0.159329839234865</v>
      </c>
      <c r="L22" s="0" t="n">
        <v>-11390.6143518556</v>
      </c>
      <c r="M22" s="0" t="n">
        <v>1954.91105429862</v>
      </c>
      <c r="N22" s="0" t="n">
        <v>-11390.6143518556</v>
      </c>
      <c r="O22" s="0" t="n">
        <v>1954.91105429862</v>
      </c>
    </row>
    <row r="23" customFormat="false" ht="16.4" hidden="false" customHeight="false" outlineLevel="0" collapsed="false">
      <c r="A23" s="84" t="s">
        <v>133</v>
      </c>
      <c r="B23" s="114" t="n">
        <v>112330</v>
      </c>
      <c r="C23" s="95" t="n">
        <v>166872</v>
      </c>
      <c r="D23" s="94" t="n">
        <v>30.4</v>
      </c>
      <c r="E23" s="95" t="n">
        <v>2752</v>
      </c>
      <c r="G23" s="108" t="s">
        <v>112</v>
      </c>
      <c r="H23" s="108" t="n">
        <v>8.93233270034031</v>
      </c>
      <c r="I23" s="108" t="n">
        <v>1.86563303461741</v>
      </c>
      <c r="J23" s="108" t="n">
        <v>4.78782940406717</v>
      </c>
      <c r="K23" s="122" t="n">
        <v>3.94214797337929E-005</v>
      </c>
      <c r="L23" s="108" t="n">
        <v>5.12734904019676</v>
      </c>
      <c r="M23" s="108" t="n">
        <v>12.7373163604839</v>
      </c>
      <c r="N23" s="108" t="n">
        <v>5.12734904019676</v>
      </c>
      <c r="O23" s="108" t="n">
        <v>12.7373163604839</v>
      </c>
    </row>
    <row r="24" customFormat="false" ht="15" hidden="false" customHeight="false" outlineLevel="0" collapsed="false">
      <c r="A24" s="84" t="s">
        <v>134</v>
      </c>
      <c r="B24" s="114" t="n">
        <v>1016</v>
      </c>
      <c r="C24" s="95" t="n">
        <v>1741</v>
      </c>
      <c r="D24" s="94" t="n">
        <v>41.9</v>
      </c>
      <c r="E24" s="94" t="n">
        <v>853</v>
      </c>
    </row>
    <row r="25" customFormat="false" ht="15" hidden="false" customHeight="false" outlineLevel="0" collapsed="false">
      <c r="A25" s="84" t="s">
        <v>135</v>
      </c>
      <c r="B25" s="114" t="n">
        <v>29173</v>
      </c>
      <c r="C25" s="95" t="n">
        <v>60816</v>
      </c>
      <c r="D25" s="94" t="n">
        <v>33.9</v>
      </c>
      <c r="E25" s="94" t="n">
        <v>757</v>
      </c>
    </row>
    <row r="26" customFormat="false" ht="15" hidden="false" customHeight="false" outlineLevel="0" collapsed="false">
      <c r="A26" s="84" t="s">
        <v>136</v>
      </c>
      <c r="B26" s="114" t="n">
        <v>258837</v>
      </c>
      <c r="C26" s="95" t="n">
        <v>218147</v>
      </c>
      <c r="D26" s="94" t="n">
        <v>40.9</v>
      </c>
      <c r="E26" s="95" t="n">
        <v>8405</v>
      </c>
      <c r="G26" s="0" t="s">
        <v>195</v>
      </c>
      <c r="K26" s="0" t="s">
        <v>196</v>
      </c>
    </row>
    <row r="27" customFormat="false" ht="15" hidden="false" customHeight="false" outlineLevel="0" collapsed="false">
      <c r="A27" s="84" t="s">
        <v>137</v>
      </c>
      <c r="B27" s="114" t="n">
        <v>40377</v>
      </c>
      <c r="C27" s="95" t="n">
        <v>36849</v>
      </c>
      <c r="D27" s="94" t="n">
        <v>40.1</v>
      </c>
      <c r="E27" s="95" t="n">
        <v>2743</v>
      </c>
    </row>
    <row r="28" customFormat="false" ht="15" hidden="false" customHeight="false" outlineLevel="0" collapsed="false">
      <c r="A28" s="84" t="s">
        <v>138</v>
      </c>
      <c r="B28" s="114" t="n">
        <v>194718</v>
      </c>
      <c r="C28" s="95" t="n">
        <v>132795</v>
      </c>
      <c r="D28" s="94" t="n">
        <v>40</v>
      </c>
      <c r="E28" s="95" t="n">
        <v>8842</v>
      </c>
      <c r="G28" s="102" t="s">
        <v>197</v>
      </c>
      <c r="H28" s="102" t="s">
        <v>198</v>
      </c>
      <c r="I28" s="102" t="s">
        <v>199</v>
      </c>
      <c r="K28" s="102" t="s">
        <v>200</v>
      </c>
      <c r="L28" s="102" t="s">
        <v>109</v>
      </c>
    </row>
    <row r="29" customFormat="false" ht="15" hidden="false" customHeight="false" outlineLevel="0" collapsed="false">
      <c r="A29" s="91" t="s">
        <v>139</v>
      </c>
      <c r="B29" s="92" t="n">
        <f aca="false">MEDIAN(B2:B28,B30:B34,B36)</f>
        <v>43925</v>
      </c>
      <c r="C29" s="93" t="n">
        <f aca="false">MEDIAN(C2:C28,C30:C34)</f>
        <v>33967</v>
      </c>
      <c r="D29" s="94" t="n">
        <v>43.6</v>
      </c>
      <c r="E29" s="95" t="n">
        <v>2907</v>
      </c>
      <c r="G29" s="0" t="n">
        <v>1</v>
      </c>
      <c r="H29" s="0" t="n">
        <v>82140.0332232313</v>
      </c>
      <c r="I29" s="0" t="n">
        <v>-25451.0332232313</v>
      </c>
      <c r="K29" s="0" t="n">
        <v>1.42857142857143</v>
      </c>
      <c r="L29" s="0" t="n">
        <v>1016</v>
      </c>
    </row>
    <row r="30" customFormat="false" ht="15" hidden="false" customHeight="false" outlineLevel="0" collapsed="false">
      <c r="A30" s="84" t="s">
        <v>140</v>
      </c>
      <c r="B30" s="114" t="n">
        <v>3870</v>
      </c>
      <c r="C30" s="95" t="n">
        <v>6997</v>
      </c>
      <c r="D30" s="94" t="n">
        <v>40.3</v>
      </c>
      <c r="E30" s="94" t="n">
        <v>907</v>
      </c>
      <c r="G30" s="0" t="n">
        <v>2</v>
      </c>
      <c r="H30" s="0" t="n">
        <v>85614.2385390788</v>
      </c>
      <c r="I30" s="0" t="n">
        <v>4179.76146092125</v>
      </c>
      <c r="K30" s="0" t="n">
        <v>4.28571428571429</v>
      </c>
      <c r="L30" s="0" t="n">
        <v>3870</v>
      </c>
    </row>
    <row r="31" customFormat="false" ht="15" hidden="false" customHeight="false" outlineLevel="0" collapsed="false">
      <c r="A31" s="84" t="s">
        <v>141</v>
      </c>
      <c r="B31" s="114" t="n">
        <v>14913</v>
      </c>
      <c r="C31" s="94" t="n">
        <v>15.42</v>
      </c>
      <c r="D31" s="94" t="n">
        <v>39.4</v>
      </c>
      <c r="E31" s="94" t="n">
        <v>355</v>
      </c>
      <c r="G31" s="0" t="n">
        <v>3</v>
      </c>
      <c r="H31" s="0" t="n">
        <v>48391.634932473</v>
      </c>
      <c r="I31" s="0" t="n">
        <v>-18921.634932473</v>
      </c>
      <c r="K31" s="0" t="n">
        <v>7.14285714285714</v>
      </c>
      <c r="L31" s="0" t="n">
        <v>4046</v>
      </c>
    </row>
    <row r="32" customFormat="false" ht="15" hidden="false" customHeight="false" outlineLevel="0" collapsed="false">
      <c r="A32" s="84" t="s">
        <v>12</v>
      </c>
      <c r="B32" s="114" t="n">
        <v>343875</v>
      </c>
      <c r="C32" s="95" t="n">
        <v>342114</v>
      </c>
      <c r="D32" s="94" t="n">
        <v>37.8</v>
      </c>
      <c r="E32" s="95" t="n">
        <v>13188</v>
      </c>
      <c r="G32" s="0" t="n">
        <v>4</v>
      </c>
      <c r="H32" s="0" t="n">
        <v>32405.9959616618</v>
      </c>
      <c r="I32" s="0" t="n">
        <v>-2754.99596166176</v>
      </c>
      <c r="K32" s="0" t="n">
        <v>10</v>
      </c>
      <c r="L32" s="0" t="n">
        <v>8255</v>
      </c>
    </row>
    <row r="33" customFormat="false" ht="15" hidden="false" customHeight="false" outlineLevel="0" collapsed="false">
      <c r="A33" s="84" t="s">
        <v>142</v>
      </c>
      <c r="B33" s="114" t="n">
        <v>55830</v>
      </c>
      <c r="C33" s="94" t="n">
        <v>134.24</v>
      </c>
      <c r="D33" s="94" t="n">
        <v>36.8</v>
      </c>
      <c r="E33" s="95" t="n">
        <v>1772</v>
      </c>
      <c r="G33" s="0" t="n">
        <v>5</v>
      </c>
      <c r="H33" s="0" t="n">
        <v>26202.5335626931</v>
      </c>
      <c r="I33" s="0" t="n">
        <v>-9019.53356269307</v>
      </c>
      <c r="K33" s="0" t="n">
        <v>12.8571428571429</v>
      </c>
      <c r="L33" s="0" t="n">
        <v>12644</v>
      </c>
    </row>
    <row r="34" customFormat="false" ht="15" hidden="false" customHeight="false" outlineLevel="0" collapsed="false">
      <c r="A34" s="84" t="s">
        <v>143</v>
      </c>
      <c r="B34" s="114" t="n">
        <v>116631</v>
      </c>
      <c r="C34" s="95" t="n">
        <v>153627</v>
      </c>
      <c r="D34" s="94" t="n">
        <v>35.4</v>
      </c>
      <c r="E34" s="95" t="n">
        <v>1476</v>
      </c>
      <c r="G34" s="0" t="n">
        <v>6</v>
      </c>
      <c r="H34" s="0" t="n">
        <v>34347.9809069297</v>
      </c>
      <c r="I34" s="0" t="n">
        <v>-8663.98090692971</v>
      </c>
      <c r="K34" s="0" t="n">
        <v>15.7142857142857</v>
      </c>
      <c r="L34" s="0" t="n">
        <v>13003</v>
      </c>
    </row>
    <row r="35" customFormat="false" ht="15" hidden="false" customHeight="false" outlineLevel="0" collapsed="false">
      <c r="A35" s="84" t="s">
        <v>144</v>
      </c>
      <c r="B35" s="114" t="n">
        <f aca="false">MEDIAN(B2:B34,B36)</f>
        <v>43925</v>
      </c>
      <c r="C35" s="94" t="n">
        <f aca="false">MEDIAN(C2:C34,C36)</f>
        <v>35408</v>
      </c>
      <c r="D35" s="94" t="n">
        <v>47.6</v>
      </c>
      <c r="E35" s="95" t="n">
        <v>20395</v>
      </c>
      <c r="G35" s="0" t="n">
        <v>7</v>
      </c>
      <c r="H35" s="0" t="n">
        <v>74161.7426890905</v>
      </c>
      <c r="I35" s="0" t="n">
        <v>-29536.7426890905</v>
      </c>
      <c r="K35" s="0" t="n">
        <v>18.5714285714286</v>
      </c>
      <c r="L35" s="0" t="n">
        <v>14913</v>
      </c>
    </row>
    <row r="36" customFormat="false" ht="15" hidden="false" customHeight="false" outlineLevel="0" collapsed="false">
      <c r="A36" s="84" t="s">
        <v>145</v>
      </c>
      <c r="B36" s="114" t="n">
        <v>299183</v>
      </c>
      <c r="C36" s="95" t="n">
        <v>631452</v>
      </c>
      <c r="D36" s="94" t="n">
        <v>37.1</v>
      </c>
      <c r="E36" s="95" t="n">
        <v>14756</v>
      </c>
      <c r="G36" s="0" t="n">
        <v>8</v>
      </c>
      <c r="H36" s="0" t="n">
        <v>30109.3196928014</v>
      </c>
      <c r="I36" s="0" t="n">
        <v>-17106.3196928014</v>
      </c>
      <c r="K36" s="0" t="n">
        <v>21.4285714285714</v>
      </c>
      <c r="L36" s="0" t="n">
        <v>16305</v>
      </c>
    </row>
    <row r="37" customFormat="false" ht="15" hidden="false" customHeight="false" outlineLevel="0" collapsed="false">
      <c r="A37" s="98"/>
      <c r="C37" s="99"/>
      <c r="D37" s="99"/>
      <c r="E37" s="94"/>
      <c r="G37" s="0" t="n">
        <v>9</v>
      </c>
      <c r="H37" s="0" t="n">
        <v>46819.8613878963</v>
      </c>
      <c r="I37" s="0" t="n">
        <v>-30514.8613878963</v>
      </c>
      <c r="K37" s="0" t="n">
        <v>24.2857142857143</v>
      </c>
      <c r="L37" s="0" t="n">
        <v>17183</v>
      </c>
    </row>
    <row r="38" customFormat="false" ht="15" hidden="false" customHeight="false" outlineLevel="0" collapsed="false">
      <c r="G38" s="0" t="n">
        <v>10</v>
      </c>
      <c r="H38" s="0" t="n">
        <v>212176.690866448</v>
      </c>
      <c r="I38" s="0" t="n">
        <v>112340.309133552</v>
      </c>
      <c r="K38" s="0" t="n">
        <v>27.1428571428571</v>
      </c>
      <c r="L38" s="0" t="n">
        <v>20119</v>
      </c>
    </row>
    <row r="39" customFormat="false" ht="15" hidden="false" customHeight="false" outlineLevel="0" collapsed="false">
      <c r="G39" s="0" t="n">
        <v>11</v>
      </c>
      <c r="H39" s="0" t="n">
        <v>369988.664445804</v>
      </c>
      <c r="I39" s="0" t="n">
        <v>-54106.6644458044</v>
      </c>
      <c r="K39" s="0" t="n">
        <v>30</v>
      </c>
      <c r="L39" s="0" t="n">
        <v>25684</v>
      </c>
    </row>
    <row r="40" customFormat="false" ht="15" hidden="false" customHeight="false" outlineLevel="0" collapsed="false">
      <c r="G40" s="0" t="n">
        <v>12</v>
      </c>
      <c r="H40" s="0" t="n">
        <v>22716.6130889186</v>
      </c>
      <c r="I40" s="0" t="n">
        <v>86634.3869110814</v>
      </c>
      <c r="K40" s="0" t="n">
        <v>32.8571428571429</v>
      </c>
      <c r="L40" s="0" t="n">
        <v>29173</v>
      </c>
    </row>
    <row r="41" customFormat="false" ht="15" hidden="false" customHeight="false" outlineLevel="0" collapsed="false">
      <c r="G41" s="0" t="n">
        <v>13</v>
      </c>
      <c r="H41" s="0" t="n">
        <v>32267.0114382235</v>
      </c>
      <c r="I41" s="0" t="n">
        <v>10957.9885617765</v>
      </c>
      <c r="K41" s="0" t="n">
        <v>35.7142857142857</v>
      </c>
      <c r="L41" s="0" t="n">
        <v>29470</v>
      </c>
    </row>
    <row r="42" customFormat="false" ht="15" hidden="false" customHeight="false" outlineLevel="0" collapsed="false">
      <c r="G42" s="0" t="n">
        <v>14</v>
      </c>
      <c r="H42" s="0" t="n">
        <v>21873.0508662941</v>
      </c>
      <c r="I42" s="0" t="n">
        <v>-17827.0508662941</v>
      </c>
      <c r="K42" s="0" t="n">
        <v>38.5714285714286</v>
      </c>
      <c r="L42" s="0" t="n">
        <v>29651</v>
      </c>
    </row>
    <row r="43" customFormat="false" ht="15" hidden="false" customHeight="false" outlineLevel="0" collapsed="false">
      <c r="G43" s="0" t="n">
        <v>15</v>
      </c>
      <c r="H43" s="0" t="n">
        <v>66545.5257669048</v>
      </c>
      <c r="I43" s="0" t="n">
        <v>614.474233095214</v>
      </c>
      <c r="K43" s="0" t="n">
        <v>41.4285714285714</v>
      </c>
      <c r="L43" s="0" t="n">
        <v>40377</v>
      </c>
    </row>
    <row r="44" customFormat="false" ht="15" hidden="false" customHeight="false" outlineLevel="0" collapsed="false">
      <c r="G44" s="0" t="n">
        <v>16</v>
      </c>
      <c r="H44" s="0" t="n">
        <v>247000.438256514</v>
      </c>
      <c r="I44" s="0" t="n">
        <v>-100045.438256514</v>
      </c>
      <c r="K44" s="0" t="n">
        <v>44.2857142857143</v>
      </c>
      <c r="L44" s="0" t="n">
        <v>43225</v>
      </c>
    </row>
    <row r="45" customFormat="false" ht="15" hidden="false" customHeight="false" outlineLevel="0" collapsed="false">
      <c r="G45" s="0" t="n">
        <v>17</v>
      </c>
      <c r="H45" s="0" t="n">
        <v>30415.2273400482</v>
      </c>
      <c r="I45" s="0" t="n">
        <v>-10296.2273400482</v>
      </c>
      <c r="K45" s="0" t="n">
        <v>47.1428571428571</v>
      </c>
      <c r="L45" s="0" t="n">
        <v>43925</v>
      </c>
    </row>
    <row r="46" customFormat="false" ht="15" hidden="false" customHeight="false" outlineLevel="0" collapsed="false">
      <c r="G46" s="0" t="n">
        <v>18</v>
      </c>
      <c r="H46" s="0" t="n">
        <v>40727.958507317</v>
      </c>
      <c r="I46" s="0" t="n">
        <v>9717.041492683</v>
      </c>
      <c r="K46" s="0" t="n">
        <v>50</v>
      </c>
      <c r="L46" s="0" t="n">
        <v>43925</v>
      </c>
    </row>
    <row r="47" customFormat="false" ht="15" hidden="false" customHeight="false" outlineLevel="0" collapsed="false">
      <c r="G47" s="0" t="n">
        <v>19</v>
      </c>
      <c r="H47" s="0" t="n">
        <v>37074.6566584286</v>
      </c>
      <c r="I47" s="0" t="n">
        <v>-24430.6566584286</v>
      </c>
      <c r="K47" s="0" t="n">
        <v>52.8571428571429</v>
      </c>
      <c r="L47" s="0" t="n">
        <v>43925</v>
      </c>
    </row>
    <row r="48" customFormat="false" ht="15" hidden="false" customHeight="false" outlineLevel="0" collapsed="false">
      <c r="G48" s="0" t="n">
        <v>20</v>
      </c>
      <c r="H48" s="0" t="n">
        <v>30232.3957666302</v>
      </c>
      <c r="I48" s="0" t="n">
        <v>-21977.3957666302</v>
      </c>
      <c r="K48" s="0" t="n">
        <v>55.7142857142857</v>
      </c>
      <c r="L48" s="0" t="n">
        <v>44625</v>
      </c>
    </row>
    <row r="49" customFormat="false" ht="15" hidden="false" customHeight="false" outlineLevel="0" collapsed="false">
      <c r="G49" s="0" t="n">
        <v>21</v>
      </c>
      <c r="H49" s="0" t="n">
        <v>12886.0428274369</v>
      </c>
      <c r="I49" s="0" t="n">
        <v>31038.9571725631</v>
      </c>
      <c r="K49" s="0" t="n">
        <v>58.5714285714286</v>
      </c>
      <c r="L49" s="0" t="n">
        <v>50445</v>
      </c>
    </row>
    <row r="50" customFormat="false" ht="15" hidden="false" customHeight="false" outlineLevel="0" collapsed="false">
      <c r="G50" s="0" t="n">
        <v>22</v>
      </c>
      <c r="H50" s="0" t="n">
        <v>124695.502688409</v>
      </c>
      <c r="I50" s="0" t="n">
        <v>-12365.5026884089</v>
      </c>
      <c r="K50" s="0" t="n">
        <v>61.4285714285714</v>
      </c>
      <c r="L50" s="0" t="n">
        <v>55830</v>
      </c>
    </row>
    <row r="51" customFormat="false" ht="15" hidden="false" customHeight="false" outlineLevel="0" collapsed="false">
      <c r="G51" s="0" t="n">
        <v>23</v>
      </c>
      <c r="H51" s="0" t="n">
        <v>18400.3806636002</v>
      </c>
      <c r="I51" s="0" t="n">
        <v>-17384.3806636002</v>
      </c>
      <c r="K51" s="0" t="n">
        <v>64.2857142857143</v>
      </c>
      <c r="L51" s="0" t="n">
        <v>56689</v>
      </c>
    </row>
    <row r="52" customFormat="false" ht="15" hidden="false" customHeight="false" outlineLevel="0" collapsed="false">
      <c r="G52" s="0" t="n">
        <v>24</v>
      </c>
      <c r="H52" s="0" t="n">
        <v>67834.47340957</v>
      </c>
      <c r="I52" s="0" t="n">
        <v>-38661.47340957</v>
      </c>
      <c r="K52" s="0" t="n">
        <v>67.1428571428572</v>
      </c>
      <c r="L52" s="0" t="n">
        <v>67160</v>
      </c>
    </row>
    <row r="53" customFormat="false" ht="15" hidden="false" customHeight="false" outlineLevel="0" collapsed="false">
      <c r="G53" s="0" t="n">
        <v>25</v>
      </c>
      <c r="H53" s="0" t="n">
        <v>136544.435120337</v>
      </c>
      <c r="I53" s="0" t="n">
        <v>122292.564879663</v>
      </c>
      <c r="K53" s="0" t="n">
        <v>70</v>
      </c>
      <c r="L53" s="0" t="n">
        <v>89794</v>
      </c>
    </row>
    <row r="54" customFormat="false" ht="15" hidden="false" customHeight="false" outlineLevel="0" collapsed="false">
      <c r="G54" s="0" t="n">
        <v>26</v>
      </c>
      <c r="H54" s="0" t="n">
        <v>51232.3065813258</v>
      </c>
      <c r="I54" s="0" t="n">
        <v>-10855.3065813258</v>
      </c>
      <c r="K54" s="0" t="n">
        <v>72.8571428571429</v>
      </c>
      <c r="L54" s="0" t="n">
        <v>109351</v>
      </c>
    </row>
    <row r="55" customFormat="false" ht="15" hidden="false" customHeight="false" outlineLevel="0" collapsed="false">
      <c r="G55" s="0" t="n">
        <v>27</v>
      </c>
      <c r="H55" s="0" t="n">
        <v>126563.355135411</v>
      </c>
      <c r="I55" s="0" t="n">
        <v>68154.644864589</v>
      </c>
      <c r="K55" s="0" t="n">
        <v>75.7142857142857</v>
      </c>
      <c r="L55" s="0" t="n">
        <v>112330</v>
      </c>
    </row>
    <row r="56" customFormat="false" ht="15" hidden="false" customHeight="false" outlineLevel="0" collapsed="false">
      <c r="G56" s="0" t="n">
        <v>28</v>
      </c>
      <c r="H56" s="0" t="n">
        <v>35572.5304211502</v>
      </c>
      <c r="I56" s="0" t="n">
        <v>8352.46957884981</v>
      </c>
      <c r="K56" s="0" t="n">
        <v>78.5714285714286</v>
      </c>
      <c r="L56" s="0" t="n">
        <v>116631</v>
      </c>
    </row>
    <row r="57" customFormat="false" ht="15" hidden="false" customHeight="false" outlineLevel="0" collapsed="false">
      <c r="G57" s="0" t="n">
        <v>29</v>
      </c>
      <c r="H57" s="0" t="n">
        <v>27547.7751929756</v>
      </c>
      <c r="I57" s="0" t="n">
        <v>-23677.7751929756</v>
      </c>
      <c r="K57" s="0" t="n">
        <v>81.4285714285714</v>
      </c>
      <c r="L57" s="0" t="n">
        <v>146955</v>
      </c>
    </row>
    <row r="58" customFormat="false" ht="15" hidden="false" customHeight="false" outlineLevel="0" collapsed="false">
      <c r="G58" s="0" t="n">
        <v>30</v>
      </c>
      <c r="H58" s="0" t="n">
        <v>25380.1582942047</v>
      </c>
      <c r="I58" s="0" t="n">
        <v>-10467.1582942047</v>
      </c>
      <c r="K58" s="0" t="n">
        <v>84.2857142857143</v>
      </c>
      <c r="L58" s="0" t="n">
        <v>194718</v>
      </c>
    </row>
    <row r="59" customFormat="false" ht="15" hidden="false" customHeight="false" outlineLevel="0" collapsed="false">
      <c r="G59" s="0" t="n">
        <v>31</v>
      </c>
      <c r="H59" s="0" t="n">
        <v>220226.343756431</v>
      </c>
      <c r="I59" s="0" t="n">
        <v>123648.656243569</v>
      </c>
      <c r="K59" s="0" t="n">
        <v>87.1428571428572</v>
      </c>
      <c r="L59" s="0" t="n">
        <v>258837</v>
      </c>
    </row>
    <row r="60" customFormat="false" ht="15" hidden="false" customHeight="false" outlineLevel="0" collapsed="false">
      <c r="G60" s="0" t="n">
        <v>32</v>
      </c>
      <c r="H60" s="0" t="n">
        <v>50328.9279066175</v>
      </c>
      <c r="I60" s="0" t="n">
        <v>5501.07209338249</v>
      </c>
      <c r="K60" s="0" t="n">
        <v>90</v>
      </c>
      <c r="L60" s="0" t="n">
        <v>299183</v>
      </c>
    </row>
    <row r="61" customFormat="false" ht="15" hidden="false" customHeight="false" outlineLevel="0" collapsed="false">
      <c r="G61" s="0" t="n">
        <v>33</v>
      </c>
      <c r="H61" s="0" t="n">
        <v>86895.0688771397</v>
      </c>
      <c r="I61" s="0" t="n">
        <v>29735.9311228603</v>
      </c>
      <c r="K61" s="0" t="n">
        <v>92.8571428571429</v>
      </c>
      <c r="L61" s="0" t="n">
        <v>315882</v>
      </c>
    </row>
    <row r="62" customFormat="false" ht="15" hidden="false" customHeight="false" outlineLevel="0" collapsed="false">
      <c r="G62" s="0" t="n">
        <v>34</v>
      </c>
      <c r="H62" s="0" t="n">
        <v>173215.857065741</v>
      </c>
      <c r="I62" s="0" t="n">
        <v>-129290.857065741</v>
      </c>
      <c r="K62" s="0" t="n">
        <v>95.7142857142857</v>
      </c>
      <c r="L62" s="0" t="n">
        <v>324517</v>
      </c>
    </row>
    <row r="63" customFormat="false" ht="15" hidden="false" customHeight="false" outlineLevel="0" collapsed="false">
      <c r="G63" s="108" t="n">
        <v>35</v>
      </c>
      <c r="H63" s="108" t="n">
        <v>298996.268162262</v>
      </c>
      <c r="I63" s="108" t="n">
        <v>186.731837737898</v>
      </c>
      <c r="K63" s="108" t="n">
        <v>98.5714285714286</v>
      </c>
      <c r="L63" s="108" t="n">
        <v>343875</v>
      </c>
    </row>
    <row r="102" customFormat="false" ht="15" hidden="false" customHeight="false" outlineLevel="0" collapsed="false">
      <c r="K102" s="98"/>
      <c r="L102" s="99"/>
      <c r="M102" s="99"/>
      <c r="N102" s="99"/>
      <c r="O102" s="99"/>
    </row>
    <row r="103" customFormat="false" ht="15" hidden="false" customHeight="false" outlineLevel="0" collapsed="false">
      <c r="K103" s="98"/>
      <c r="L103" s="99"/>
      <c r="M103" s="99"/>
      <c r="N103" s="99"/>
      <c r="O103" s="99"/>
    </row>
    <row r="104" customFormat="false" ht="15" hidden="false" customHeight="false" outlineLevel="0" collapsed="false">
      <c r="K104" s="98"/>
      <c r="L104" s="101"/>
      <c r="M104" s="101"/>
      <c r="N104" s="101"/>
      <c r="O104" s="101"/>
    </row>
  </sheetData>
  <mergeCells count="2">
    <mergeCell ref="G1:H1"/>
    <mergeCell ref="G3:H3"/>
  </mergeCells>
  <conditionalFormatting sqref="K20:K23">
    <cfRule type="cellIs" priority="2" operator="greaterThan" aboveAverage="0" equalAverage="0" bottom="0" percent="0" rank="0" text="" dxfId="4">
      <formula>0.05</formula>
    </cfRule>
  </conditionalFormatting>
  <hyperlinks>
    <hyperlink ref="B1" r:id="rId2" display="EMIGRAZIONE"/>
    <hyperlink ref="C1" r:id="rId3" display="immigrazione 2015"/>
    <hyperlink ref="D1" r:id="rId4" display="Numero medio di ore di lavoro settimanali  2015"/>
    <hyperlink ref="E1" r:id="rId5" display="pensioni 2015"/>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
  <legacyDrawing r:id="rId7"/>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0"/>
  <sheetViews>
    <sheetView showFormulas="false" showGridLines="true" showRowColHeaders="true" showZeros="true" rightToLeft="false" tabSelected="false" showOutlineSymbols="true" defaultGridColor="true" view="normal" topLeftCell="A23" colorId="64" zoomScale="100" zoomScaleNormal="100" zoomScalePageLayoutView="100" workbookViewId="0">
      <selection pane="topLeft" activeCell="P28" activeCellId="0" sqref="1:1048576"/>
    </sheetView>
  </sheetViews>
  <sheetFormatPr defaultColWidth="8.59765625" defaultRowHeight="15" customHeight="false" zeroHeight="false" outlineLevelRow="0" outlineLevelCol="0"/>
  <cols>
    <col collapsed="false" customWidth="true" hidden="false" outlineLevel="0" max="1" min="1" style="0" width="22.86"/>
    <col collapsed="false" customWidth="true" hidden="false" outlineLevel="0" max="2" min="2" style="0" width="13.43"/>
    <col collapsed="false" customWidth="true" hidden="false" outlineLevel="0" max="3" min="3" style="0" width="17.57"/>
    <col collapsed="false" customWidth="true" hidden="false" outlineLevel="0" max="4" min="4" style="0" width="13.14"/>
    <col collapsed="false" customWidth="true" hidden="false" outlineLevel="0" max="5" min="5" style="0" width="11.43"/>
    <col collapsed="false" customWidth="true" hidden="false" outlineLevel="0" max="6" min="6" style="0" width="11.57"/>
    <col collapsed="false" customWidth="true" hidden="false" outlineLevel="0" max="7" min="7" style="0" width="24.72"/>
    <col collapsed="false" customWidth="true" hidden="false" outlineLevel="0" max="8" min="8" style="0" width="21"/>
    <col collapsed="false" customWidth="true" hidden="false" outlineLevel="0" max="10" min="9" style="0" width="14.29"/>
    <col collapsed="false" customWidth="true" hidden="false" outlineLevel="0" max="11" min="11" style="0" width="19.72"/>
    <col collapsed="false" customWidth="true" hidden="false" outlineLevel="0" max="12" min="12" style="0" width="13.57"/>
    <col collapsed="false" customWidth="true" hidden="false" outlineLevel="0" max="13" min="13" style="0" width="15.28"/>
    <col collapsed="false" customWidth="true" hidden="false" outlineLevel="0" max="14" min="14" style="0" width="15.15"/>
    <col collapsed="false" customWidth="true" hidden="false" outlineLevel="0" max="15" min="15" style="0" width="15.28"/>
  </cols>
  <sheetData>
    <row r="1" customFormat="false" ht="16.4" hidden="false" customHeight="false" outlineLevel="0" collapsed="false">
      <c r="A1" s="72" t="s">
        <v>108</v>
      </c>
      <c r="B1" s="73" t="s">
        <v>109</v>
      </c>
      <c r="C1" s="74" t="s">
        <v>110</v>
      </c>
      <c r="D1" s="76" t="s">
        <v>112</v>
      </c>
      <c r="G1" s="121" t="s">
        <v>171</v>
      </c>
      <c r="H1" s="121"/>
    </row>
    <row r="2" customFormat="false" ht="15" hidden="false" customHeight="false" outlineLevel="0" collapsed="false">
      <c r="A2" s="78" t="s">
        <v>116</v>
      </c>
      <c r="B2" s="114" t="n">
        <v>56689</v>
      </c>
      <c r="C2" s="95" t="n">
        <v>166323</v>
      </c>
      <c r="D2" s="123" t="n">
        <v>1434</v>
      </c>
    </row>
    <row r="3" customFormat="false" ht="15" hidden="false" customHeight="false" outlineLevel="0" collapsed="false">
      <c r="A3" s="84" t="s">
        <v>117</v>
      </c>
      <c r="B3" s="114" t="n">
        <v>89794</v>
      </c>
      <c r="C3" s="95" t="n">
        <v>146626</v>
      </c>
      <c r="D3" s="123" t="n">
        <v>2397</v>
      </c>
      <c r="G3" s="103" t="s">
        <v>172</v>
      </c>
      <c r="H3" s="103"/>
    </row>
    <row r="4" customFormat="false" ht="15" hidden="false" customHeight="false" outlineLevel="0" collapsed="false">
      <c r="A4" s="84" t="s">
        <v>118</v>
      </c>
      <c r="B4" s="114" t="n">
        <v>29470</v>
      </c>
      <c r="C4" s="95" t="n">
        <v>25223</v>
      </c>
      <c r="D4" s="123" t="n">
        <v>3124</v>
      </c>
      <c r="G4" s="0" t="s">
        <v>173</v>
      </c>
      <c r="H4" s="105" t="n">
        <v>0.845566442176231</v>
      </c>
    </row>
    <row r="5" customFormat="false" ht="15" hidden="false" customHeight="false" outlineLevel="0" collapsed="false">
      <c r="A5" s="84" t="s">
        <v>119</v>
      </c>
      <c r="B5" s="114" t="n">
        <v>29651</v>
      </c>
      <c r="C5" s="95" t="n">
        <v>11706</v>
      </c>
      <c r="D5" s="123" t="n">
        <v>1022</v>
      </c>
      <c r="G5" s="0" t="s">
        <v>174</v>
      </c>
      <c r="H5" s="117" t="n">
        <v>0.714982608134569</v>
      </c>
    </row>
    <row r="6" customFormat="false" ht="15" hidden="false" customHeight="false" outlineLevel="0" collapsed="false">
      <c r="A6" s="84" t="s">
        <v>120</v>
      </c>
      <c r="B6" s="114" t="n">
        <v>17183</v>
      </c>
      <c r="C6" s="95" t="n">
        <v>15183</v>
      </c>
      <c r="D6" s="124" t="n">
        <v>192</v>
      </c>
      <c r="G6" s="0" t="s">
        <v>175</v>
      </c>
      <c r="H6" s="118" t="n">
        <v>0.697169021142979</v>
      </c>
    </row>
    <row r="7" customFormat="false" ht="15" hidden="false" customHeight="false" outlineLevel="0" collapsed="false">
      <c r="A7" s="84" t="s">
        <v>121</v>
      </c>
      <c r="B7" s="114" t="n">
        <v>25684</v>
      </c>
      <c r="C7" s="95" t="n">
        <v>29602</v>
      </c>
      <c r="D7" s="123" t="n">
        <v>1342</v>
      </c>
      <c r="G7" s="0" t="s">
        <v>176</v>
      </c>
      <c r="H7" s="0" t="n">
        <v>56092.7635052733</v>
      </c>
    </row>
    <row r="8" customFormat="false" ht="15" hidden="false" customHeight="false" outlineLevel="0" collapsed="false">
      <c r="A8" s="84" t="s">
        <v>122</v>
      </c>
      <c r="B8" s="114" t="n">
        <v>44625</v>
      </c>
      <c r="C8" s="95" t="n">
        <v>78492</v>
      </c>
      <c r="D8" s="123" t="n">
        <v>1045</v>
      </c>
      <c r="G8" s="108" t="s">
        <v>177</v>
      </c>
      <c r="H8" s="108" t="n">
        <v>35</v>
      </c>
    </row>
    <row r="9" customFormat="false" ht="15" hidden="false" customHeight="false" outlineLevel="0" collapsed="false">
      <c r="A9" s="84" t="s">
        <v>123</v>
      </c>
      <c r="B9" s="114" t="n">
        <v>13003</v>
      </c>
      <c r="C9" s="95" t="n">
        <v>15413</v>
      </c>
      <c r="D9" s="124" t="n">
        <v>307</v>
      </c>
    </row>
    <row r="10" customFormat="false" ht="15" hidden="false" customHeight="false" outlineLevel="0" collapsed="false">
      <c r="A10" s="84" t="s">
        <v>124</v>
      </c>
      <c r="B10" s="114" t="n">
        <v>16305</v>
      </c>
      <c r="C10" s="95" t="n">
        <v>28746</v>
      </c>
      <c r="D10" s="124" t="n">
        <v>910</v>
      </c>
      <c r="G10" s="104" t="s">
        <v>178</v>
      </c>
    </row>
    <row r="11" customFormat="false" ht="15" hidden="false" customHeight="false" outlineLevel="0" collapsed="false">
      <c r="A11" s="84" t="s">
        <v>13</v>
      </c>
      <c r="B11" s="114" t="n">
        <v>324517</v>
      </c>
      <c r="C11" s="95" t="n">
        <v>364221</v>
      </c>
      <c r="D11" s="123" t="n">
        <v>11497</v>
      </c>
      <c r="G11" s="102"/>
      <c r="H11" s="102" t="s">
        <v>179</v>
      </c>
      <c r="I11" s="102" t="s">
        <v>180</v>
      </c>
      <c r="J11" s="102" t="s">
        <v>181</v>
      </c>
      <c r="K11" s="119" t="s">
        <v>182</v>
      </c>
      <c r="L11" s="119" t="s">
        <v>183</v>
      </c>
    </row>
    <row r="12" customFormat="false" ht="15" hidden="false" customHeight="false" outlineLevel="0" collapsed="false">
      <c r="A12" s="84" t="s">
        <v>11</v>
      </c>
      <c r="B12" s="114" t="n">
        <v>315882</v>
      </c>
      <c r="C12" s="95" t="n">
        <v>1549937</v>
      </c>
      <c r="D12" s="124" t="n">
        <v>16.08</v>
      </c>
      <c r="G12" s="0" t="s">
        <v>184</v>
      </c>
      <c r="H12" s="0" t="n">
        <v>2</v>
      </c>
      <c r="I12" s="0" t="n">
        <v>252573491622.47</v>
      </c>
      <c r="J12" s="0" t="n">
        <v>126286745811.235</v>
      </c>
      <c r="K12" s="120" t="n">
        <v>40.136925172462</v>
      </c>
      <c r="L12" s="120" t="n">
        <v>1.89645169869685E-009</v>
      </c>
    </row>
    <row r="13" customFormat="false" ht="15" hidden="false" customHeight="false" outlineLevel="0" collapsed="false">
      <c r="A13" s="84" t="s">
        <v>125</v>
      </c>
      <c r="B13" s="114" t="n">
        <v>109351</v>
      </c>
      <c r="C13" s="95" t="n">
        <v>64446</v>
      </c>
      <c r="D13" s="124" t="n">
        <v>3.47</v>
      </c>
      <c r="G13" s="0" t="s">
        <v>185</v>
      </c>
      <c r="H13" s="0" t="n">
        <v>32</v>
      </c>
      <c r="I13" s="0" t="n">
        <v>100684739765.072</v>
      </c>
      <c r="J13" s="0" t="n">
        <v>3146398117.65851</v>
      </c>
    </row>
    <row r="14" customFormat="false" ht="15" hidden="false" customHeight="false" outlineLevel="0" collapsed="false">
      <c r="A14" s="84" t="s">
        <v>126</v>
      </c>
      <c r="B14" s="114" t="n">
        <v>43225</v>
      </c>
      <c r="C14" s="95" t="n">
        <v>58344</v>
      </c>
      <c r="D14" s="124" t="n">
        <v>2.97</v>
      </c>
      <c r="G14" s="108" t="s">
        <v>186</v>
      </c>
      <c r="H14" s="108" t="n">
        <v>34</v>
      </c>
      <c r="I14" s="108" t="n">
        <v>353258231387.543</v>
      </c>
      <c r="J14" s="108"/>
      <c r="K14" s="108"/>
      <c r="L14" s="108"/>
    </row>
    <row r="15" customFormat="false" ht="15" hidden="false" customHeight="false" outlineLevel="0" collapsed="false">
      <c r="A15" s="84" t="s">
        <v>127</v>
      </c>
      <c r="B15" s="114" t="n">
        <v>4046</v>
      </c>
      <c r="C15" s="95" t="n">
        <v>5635</v>
      </c>
      <c r="D15" s="124" t="n">
        <v>40</v>
      </c>
    </row>
    <row r="16" customFormat="false" ht="15" hidden="false" customHeight="false" outlineLevel="0" collapsed="false">
      <c r="A16" s="84" t="s">
        <v>128</v>
      </c>
      <c r="B16" s="114" t="n">
        <v>67160</v>
      </c>
      <c r="C16" s="95" t="n">
        <v>80792</v>
      </c>
      <c r="D16" s="123" t="n">
        <v>1194</v>
      </c>
      <c r="G16" s="102"/>
      <c r="H16" s="102" t="s">
        <v>187</v>
      </c>
      <c r="I16" s="102" t="s">
        <v>176</v>
      </c>
      <c r="J16" s="102" t="s">
        <v>188</v>
      </c>
      <c r="K16" s="102" t="s">
        <v>189</v>
      </c>
      <c r="L16" s="102" t="s">
        <v>190</v>
      </c>
      <c r="M16" s="102" t="s">
        <v>191</v>
      </c>
      <c r="N16" s="102" t="s">
        <v>192</v>
      </c>
      <c r="O16" s="102" t="s">
        <v>193</v>
      </c>
    </row>
    <row r="17" customFormat="false" ht="16.4" hidden="false" customHeight="false" outlineLevel="0" collapsed="false">
      <c r="A17" s="84" t="s">
        <v>14</v>
      </c>
      <c r="B17" s="114" t="n">
        <v>146955</v>
      </c>
      <c r="C17" s="95" t="n">
        <v>280078</v>
      </c>
      <c r="D17" s="123" t="n">
        <v>17291</v>
      </c>
      <c r="G17" s="125" t="s">
        <v>194</v>
      </c>
      <c r="H17" s="126" t="n">
        <v>25440.6976179832</v>
      </c>
      <c r="I17" s="0" t="n">
        <v>11901.1455850753</v>
      </c>
      <c r="J17" s="0" t="n">
        <v>2.13766796113202</v>
      </c>
      <c r="K17" s="127" t="n">
        <v>0.0402822640464252</v>
      </c>
      <c r="L17" s="0" t="n">
        <v>1198.85735037036</v>
      </c>
      <c r="M17" s="0" t="n">
        <v>49682.5378855961</v>
      </c>
      <c r="N17" s="0" t="n">
        <v>1198.85735037036</v>
      </c>
      <c r="O17" s="0" t="n">
        <v>49682.5378855961</v>
      </c>
    </row>
    <row r="18" customFormat="false" ht="16.4" hidden="false" customHeight="false" outlineLevel="0" collapsed="false">
      <c r="A18" s="84" t="s">
        <v>129</v>
      </c>
      <c r="B18" s="114" t="n">
        <v>20119</v>
      </c>
      <c r="C18" s="95" t="n">
        <v>9479</v>
      </c>
      <c r="D18" s="124" t="n">
        <v>588</v>
      </c>
      <c r="G18" s="0" t="s">
        <v>110</v>
      </c>
      <c r="H18" s="126" t="n">
        <v>0.231824388044649</v>
      </c>
      <c r="I18" s="0" t="n">
        <v>0.0352422037095592</v>
      </c>
      <c r="J18" s="0" t="n">
        <v>6.57803325680704</v>
      </c>
      <c r="K18" s="127" t="n">
        <v>2.05865090730048E-007</v>
      </c>
      <c r="L18" s="0" t="n">
        <v>0.160038368211634</v>
      </c>
      <c r="M18" s="0" t="n">
        <v>0.303610407877663</v>
      </c>
      <c r="N18" s="0" t="n">
        <v>0.160038368211634</v>
      </c>
      <c r="O18" s="0" t="n">
        <v>0.303610407877663</v>
      </c>
    </row>
    <row r="19" customFormat="false" ht="16.4" hidden="false" customHeight="false" outlineLevel="0" collapsed="false">
      <c r="A19" s="84" t="s">
        <v>130</v>
      </c>
      <c r="B19" s="114" t="n">
        <v>50445</v>
      </c>
      <c r="C19" s="95" t="n">
        <v>31085</v>
      </c>
      <c r="D19" s="124" t="n">
        <v>859</v>
      </c>
      <c r="G19" s="108" t="s">
        <v>112</v>
      </c>
      <c r="H19" s="128" t="n">
        <v>8.16203756867267</v>
      </c>
      <c r="I19" s="108" t="n">
        <v>1.81741798561459</v>
      </c>
      <c r="J19" s="108" t="n">
        <v>4.49100737049905</v>
      </c>
      <c r="K19" s="129" t="n">
        <v>8.66367146334465E-005</v>
      </c>
      <c r="L19" s="108" t="n">
        <v>4.46007827477022</v>
      </c>
      <c r="M19" s="108" t="n">
        <v>11.8639968625751</v>
      </c>
      <c r="N19" s="108" t="n">
        <v>4.46007827477022</v>
      </c>
      <c r="O19" s="108" t="n">
        <v>11.8639968625751</v>
      </c>
    </row>
    <row r="20" customFormat="false" ht="15" hidden="false" customHeight="false" outlineLevel="0" collapsed="false">
      <c r="A20" s="84" t="s">
        <v>15</v>
      </c>
      <c r="B20" s="114" t="n">
        <v>12644</v>
      </c>
      <c r="C20" s="95" t="n">
        <v>23803</v>
      </c>
      <c r="D20" s="124" t="n">
        <v>95</v>
      </c>
    </row>
    <row r="21" customFormat="false" ht="15" hidden="false" customHeight="false" outlineLevel="0" collapsed="false">
      <c r="A21" s="84" t="s">
        <v>131</v>
      </c>
      <c r="B21" s="114" t="n">
        <v>8255</v>
      </c>
      <c r="C21" s="95" t="n">
        <v>18202</v>
      </c>
      <c r="D21" s="124" t="n">
        <v>96</v>
      </c>
    </row>
    <row r="22" customFormat="false" ht="15" hidden="false" customHeight="false" outlineLevel="0" collapsed="false">
      <c r="A22" s="84" t="s">
        <v>132</v>
      </c>
      <c r="B22" s="88" t="n">
        <f aca="false">MEDIAN(B2:B21,B23:B28,B30:B34,B36)</f>
        <v>43925</v>
      </c>
      <c r="C22" s="95" t="n">
        <v>4553</v>
      </c>
      <c r="D22" s="89" t="n">
        <f aca="false">MEDIAN(D2:D21,D23:D36)</f>
        <v>1119.5</v>
      </c>
    </row>
    <row r="23" customFormat="false" ht="15" hidden="false" customHeight="false" outlineLevel="0" collapsed="false">
      <c r="A23" s="84" t="s">
        <v>133</v>
      </c>
      <c r="B23" s="114" t="n">
        <v>112330</v>
      </c>
      <c r="C23" s="95" t="n">
        <v>166872</v>
      </c>
      <c r="D23" s="123" t="n">
        <v>2752</v>
      </c>
      <c r="G23" s="0" t="s">
        <v>195</v>
      </c>
    </row>
    <row r="24" customFormat="false" ht="15" hidden="false" customHeight="false" outlineLevel="0" collapsed="false">
      <c r="A24" s="84" t="s">
        <v>134</v>
      </c>
      <c r="B24" s="114" t="n">
        <v>1016</v>
      </c>
      <c r="C24" s="95" t="n">
        <v>1741</v>
      </c>
      <c r="D24" s="124" t="n">
        <v>853</v>
      </c>
    </row>
    <row r="25" customFormat="false" ht="15" hidden="false" customHeight="false" outlineLevel="0" collapsed="false">
      <c r="A25" s="84" t="s">
        <v>135</v>
      </c>
      <c r="B25" s="114" t="n">
        <v>29173</v>
      </c>
      <c r="C25" s="95" t="n">
        <v>60816</v>
      </c>
      <c r="D25" s="124" t="n">
        <v>757</v>
      </c>
      <c r="G25" s="102" t="s">
        <v>197</v>
      </c>
      <c r="H25" s="102" t="s">
        <v>198</v>
      </c>
      <c r="I25" s="102" t="s">
        <v>199</v>
      </c>
    </row>
    <row r="26" customFormat="false" ht="15" hidden="false" customHeight="false" outlineLevel="0" collapsed="false">
      <c r="A26" s="84" t="s">
        <v>136</v>
      </c>
      <c r="B26" s="114" t="n">
        <v>258837</v>
      </c>
      <c r="C26" s="95" t="n">
        <v>218147</v>
      </c>
      <c r="D26" s="123" t="n">
        <v>8405</v>
      </c>
      <c r="G26" s="0" t="n">
        <v>1</v>
      </c>
      <c r="H26" s="0" t="n">
        <v>75702.78718421</v>
      </c>
      <c r="I26" s="0" t="n">
        <v>-19013.78718421</v>
      </c>
    </row>
    <row r="27" customFormat="false" ht="15" hidden="false" customHeight="false" outlineLevel="0" collapsed="false">
      <c r="A27" s="84" t="s">
        <v>137</v>
      </c>
      <c r="B27" s="114" t="n">
        <v>40377</v>
      </c>
      <c r="C27" s="95" t="n">
        <v>36849</v>
      </c>
      <c r="D27" s="123" t="n">
        <v>2743</v>
      </c>
      <c r="G27" s="0" t="n">
        <v>2</v>
      </c>
      <c r="H27" s="0" t="n">
        <v>78996.5843915263</v>
      </c>
      <c r="I27" s="0" t="n">
        <v>10797.4156084737</v>
      </c>
    </row>
    <row r="28" customFormat="false" ht="15" hidden="false" customHeight="false" outlineLevel="0" collapsed="false">
      <c r="A28" s="84" t="s">
        <v>138</v>
      </c>
      <c r="B28" s="114" t="n">
        <v>194718</v>
      </c>
      <c r="C28" s="95" t="n">
        <v>132795</v>
      </c>
      <c r="D28" s="123" t="n">
        <v>8842</v>
      </c>
      <c r="G28" s="0" t="n">
        <v>3</v>
      </c>
      <c r="H28" s="0" t="n">
        <v>56786.2095221668</v>
      </c>
      <c r="I28" s="0" t="n">
        <v>-27316.2095221668</v>
      </c>
    </row>
    <row r="29" customFormat="false" ht="15" hidden="false" customHeight="false" outlineLevel="0" collapsed="false">
      <c r="A29" s="91" t="s">
        <v>139</v>
      </c>
      <c r="B29" s="92" t="n">
        <f aca="false">MEDIAN(B2:B28,B30:B34,B36)</f>
        <v>43925</v>
      </c>
      <c r="C29" s="93" t="n">
        <f aca="false">MEDIAN(C2:C28,C30:C34)</f>
        <v>33967</v>
      </c>
      <c r="D29" s="95" t="n">
        <v>2907</v>
      </c>
      <c r="G29" s="0" t="n">
        <v>4</v>
      </c>
      <c r="H29" s="0" t="n">
        <v>36496.0362996174</v>
      </c>
      <c r="I29" s="0" t="n">
        <v>-6845.03629961735</v>
      </c>
    </row>
    <row r="30" customFormat="false" ht="15" hidden="false" customHeight="false" outlineLevel="0" collapsed="false">
      <c r="A30" s="84" t="s">
        <v>140</v>
      </c>
      <c r="B30" s="114" t="n">
        <v>3870</v>
      </c>
      <c r="C30" s="95" t="n">
        <v>6997</v>
      </c>
      <c r="D30" s="124" t="n">
        <v>907</v>
      </c>
      <c r="G30" s="0" t="n">
        <v>5</v>
      </c>
      <c r="H30" s="0" t="n">
        <v>30527.5985148503</v>
      </c>
      <c r="I30" s="0" t="n">
        <v>-13344.5985148503</v>
      </c>
    </row>
    <row r="31" customFormat="false" ht="15" hidden="false" customHeight="false" outlineLevel="0" collapsed="false">
      <c r="A31" s="84" t="s">
        <v>141</v>
      </c>
      <c r="B31" s="114" t="n">
        <v>14913</v>
      </c>
      <c r="C31" s="94" t="n">
        <v>15.42</v>
      </c>
      <c r="D31" s="124" t="n">
        <v>355</v>
      </c>
      <c r="G31" s="0" t="n">
        <v>6</v>
      </c>
      <c r="H31" s="0" t="n">
        <v>43256.6175700396</v>
      </c>
      <c r="I31" s="0" t="n">
        <v>-17572.6175700396</v>
      </c>
    </row>
    <row r="32" customFormat="false" ht="15" hidden="false" customHeight="false" outlineLevel="0" collapsed="false">
      <c r="A32" s="84" t="s">
        <v>12</v>
      </c>
      <c r="B32" s="114" t="n">
        <v>343875</v>
      </c>
      <c r="C32" s="95" t="n">
        <v>342114</v>
      </c>
      <c r="D32" s="123" t="n">
        <v>13188</v>
      </c>
      <c r="G32" s="0" t="n">
        <v>7</v>
      </c>
      <c r="H32" s="0" t="n">
        <v>52166.3867436467</v>
      </c>
      <c r="I32" s="0" t="n">
        <v>-7541.38674364674</v>
      </c>
    </row>
    <row r="33" customFormat="false" ht="15" hidden="false" customHeight="false" outlineLevel="0" collapsed="false">
      <c r="A33" s="84" t="s">
        <v>142</v>
      </c>
      <c r="B33" s="114" t="n">
        <v>55830</v>
      </c>
      <c r="C33" s="94" t="n">
        <v>134.24</v>
      </c>
      <c r="D33" s="123" t="n">
        <v>1772</v>
      </c>
      <c r="G33" s="0" t="n">
        <v>8</v>
      </c>
      <c r="H33" s="0" t="n">
        <v>31519.5524444979</v>
      </c>
      <c r="I33" s="0" t="n">
        <v>-18516.5524444979</v>
      </c>
    </row>
    <row r="34" customFormat="false" ht="15" hidden="false" customHeight="false" outlineLevel="0" collapsed="false">
      <c r="A34" s="84" t="s">
        <v>143</v>
      </c>
      <c r="B34" s="114" t="n">
        <v>116631</v>
      </c>
      <c r="C34" s="95" t="n">
        <v>153627</v>
      </c>
      <c r="D34" s="123" t="n">
        <v>1476</v>
      </c>
      <c r="G34" s="0" t="n">
        <v>9</v>
      </c>
      <c r="H34" s="0" t="n">
        <v>39532.1756642068</v>
      </c>
      <c r="I34" s="0" t="n">
        <v>-23227.1756642068</v>
      </c>
    </row>
    <row r="35" customFormat="false" ht="15" hidden="false" customHeight="false" outlineLevel="0" collapsed="false">
      <c r="A35" s="84" t="s">
        <v>144</v>
      </c>
      <c r="B35" s="114" t="n">
        <f aca="false">MEDIAN(B2:B34,B36)</f>
        <v>43925</v>
      </c>
      <c r="C35" s="94" t="n">
        <f aca="false">MEDIAN(C2:C34,C36)</f>
        <v>35408</v>
      </c>
      <c r="D35" s="123" t="n">
        <v>20395</v>
      </c>
      <c r="G35" s="0" t="n">
        <v>10</v>
      </c>
      <c r="H35" s="0" t="n">
        <v>203714.953983023</v>
      </c>
      <c r="I35" s="0" t="n">
        <v>120802.046016977</v>
      </c>
    </row>
    <row r="36" customFormat="false" ht="15" hidden="false" customHeight="false" outlineLevel="0" collapsed="false">
      <c r="A36" s="84" t="s">
        <v>145</v>
      </c>
      <c r="B36" s="114" t="n">
        <v>299183</v>
      </c>
      <c r="C36" s="95" t="n">
        <v>631452</v>
      </c>
      <c r="D36" s="123" t="n">
        <v>14756</v>
      </c>
      <c r="G36" s="0" t="n">
        <v>11</v>
      </c>
      <c r="H36" s="0" t="n">
        <v>384885.139714846</v>
      </c>
      <c r="I36" s="0" t="n">
        <v>-69003.1397148464</v>
      </c>
    </row>
    <row r="37" customFormat="false" ht="15" hidden="false" customHeight="false" outlineLevel="0" collapsed="false">
      <c r="G37" s="0" t="n">
        <v>12</v>
      </c>
      <c r="H37" s="0" t="n">
        <v>40409.174400272</v>
      </c>
      <c r="I37" s="0" t="n">
        <v>68941.825599728</v>
      </c>
    </row>
    <row r="38" customFormat="false" ht="15" hidden="false" customHeight="false" outlineLevel="0" collapsed="false">
      <c r="G38" s="0" t="n">
        <v>13</v>
      </c>
      <c r="H38" s="0" t="n">
        <v>38990.5009656392</v>
      </c>
      <c r="I38" s="0" t="n">
        <v>4234.49903436083</v>
      </c>
    </row>
    <row r="39" customFormat="false" ht="15" hidden="false" customHeight="false" outlineLevel="0" collapsed="false">
      <c r="G39" s="0" t="n">
        <v>14</v>
      </c>
      <c r="H39" s="0" t="n">
        <v>38990.5009656392</v>
      </c>
      <c r="I39" s="0" t="n">
        <v>-23027.5095473617</v>
      </c>
    </row>
    <row r="40" customFormat="false" ht="15" hidden="false" customHeight="false" outlineLevel="0" collapsed="false">
      <c r="G40" s="0" t="n">
        <v>15</v>
      </c>
      <c r="H40" s="0" t="n">
        <v>53915.7264338817</v>
      </c>
      <c r="I40" s="0" t="n">
        <v>13244.2735661183</v>
      </c>
    </row>
    <row r="41" customFormat="false" ht="15" hidden="false" customHeight="false" outlineLevel="0" collapsed="false">
      <c r="G41" s="0" t="n">
        <v>16</v>
      </c>
      <c r="H41" s="0" t="n">
        <v>231499.400172671</v>
      </c>
      <c r="I41" s="0" t="n">
        <v>-84544.4001726715</v>
      </c>
    </row>
    <row r="42" customFormat="false" ht="15" hidden="false" customHeight="false" outlineLevel="0" collapsed="false">
      <c r="G42" s="0" t="n">
        <v>17</v>
      </c>
      <c r="H42" s="0" t="n">
        <v>32437.439082638</v>
      </c>
      <c r="I42" s="0" t="n">
        <v>-12318.439082638</v>
      </c>
    </row>
    <row r="43" customFormat="false" ht="15" hidden="false" customHeight="false" outlineLevel="0" collapsed="false">
      <c r="G43" s="0" t="n">
        <v>18</v>
      </c>
      <c r="H43" s="0" t="n">
        <v>39658.148991841</v>
      </c>
      <c r="I43" s="0" t="n">
        <v>10786.8510081591</v>
      </c>
    </row>
    <row r="44" customFormat="false" ht="15" hidden="false" customHeight="false" outlineLevel="0" collapsed="false">
      <c r="G44" s="0" t="n">
        <v>19</v>
      </c>
      <c r="H44" s="0" t="n">
        <v>31734.2070956339</v>
      </c>
      <c r="I44" s="0" t="n">
        <v>-19090.2070956339</v>
      </c>
    </row>
    <row r="45" customFormat="false" ht="15" hidden="false" customHeight="false" outlineLevel="0" collapsed="false">
      <c r="G45" s="0" t="n">
        <v>20</v>
      </c>
      <c r="H45" s="0" t="n">
        <v>30443.9207357645</v>
      </c>
      <c r="I45" s="0" t="n">
        <v>-22188.9207357645</v>
      </c>
    </row>
    <row r="46" customFormat="false" ht="15" hidden="false" customHeight="false" outlineLevel="0" collapsed="false">
      <c r="G46" s="0" t="n">
        <v>21</v>
      </c>
      <c r="H46" s="0" t="n">
        <v>35633.5951148796</v>
      </c>
      <c r="I46" s="0" t="n">
        <v>8291.40488512044</v>
      </c>
    </row>
    <row r="47" customFormat="false" ht="15" hidden="false" customHeight="false" outlineLevel="0" collapsed="false">
      <c r="G47" s="0" t="n">
        <v>22</v>
      </c>
      <c r="H47" s="0" t="n">
        <v>86587.624288757</v>
      </c>
      <c r="I47" s="0" t="n">
        <v>25742.375711243</v>
      </c>
    </row>
    <row r="48" customFormat="false" ht="15" hidden="false" customHeight="false" outlineLevel="0" collapsed="false">
      <c r="G48" s="0" t="n">
        <v>23</v>
      </c>
      <c r="H48" s="0" t="n">
        <v>32806.5219236467</v>
      </c>
      <c r="I48" s="0" t="n">
        <v>-31790.5219236467</v>
      </c>
    </row>
    <row r="49" customFormat="false" ht="15" hidden="false" customHeight="false" outlineLevel="0" collapsed="false">
      <c r="G49" s="0" t="n">
        <v>24</v>
      </c>
      <c r="H49" s="0" t="n">
        <v>45717.9920407918</v>
      </c>
      <c r="I49" s="0" t="n">
        <v>-16544.9920407918</v>
      </c>
    </row>
    <row r="50" customFormat="false" ht="15" hidden="false" customHeight="false" outlineLevel="0" collapsed="false">
      <c r="G50" s="0" t="n">
        <v>25</v>
      </c>
      <c r="H50" s="0" t="n">
        <v>144614.418161453</v>
      </c>
      <c r="I50" s="0" t="n">
        <v>114222.581838547</v>
      </c>
    </row>
    <row r="51" customFormat="false" ht="15" hidden="false" customHeight="false" outlineLevel="0" collapsed="false">
      <c r="G51" s="0" t="n">
        <v>26</v>
      </c>
      <c r="H51" s="0" t="n">
        <v>56371.6635439096</v>
      </c>
      <c r="I51" s="0" t="n">
        <v>-15994.6635439096</v>
      </c>
    </row>
    <row r="52" customFormat="false" ht="15" hidden="false" customHeight="false" outlineLevel="0" collapsed="false">
      <c r="G52" s="0" t="n">
        <v>27</v>
      </c>
      <c r="H52" s="0" t="n">
        <v>128394.553410576</v>
      </c>
      <c r="I52" s="0" t="n">
        <v>66323.4465894239</v>
      </c>
    </row>
    <row r="53" customFormat="false" ht="15" hidden="false" customHeight="false" outlineLevel="0" collapsed="false">
      <c r="G53" s="0" t="n">
        <v>28</v>
      </c>
      <c r="H53" s="0" t="n">
        <v>57042.1198188273</v>
      </c>
      <c r="I53" s="0" t="n">
        <v>-13117.1198188273</v>
      </c>
    </row>
    <row r="54" customFormat="false" ht="15" hidden="false" customHeight="false" outlineLevel="0" collapsed="false">
      <c r="G54" s="0" t="n">
        <v>29</v>
      </c>
      <c r="H54" s="0" t="n">
        <v>34465.7409359177</v>
      </c>
      <c r="I54" s="0" t="n">
        <v>-30595.7409359177</v>
      </c>
    </row>
    <row r="55" customFormat="false" ht="15" hidden="false" customHeight="false" outlineLevel="0" collapsed="false">
      <c r="G55" s="0" t="n">
        <v>30</v>
      </c>
      <c r="H55" s="0" t="n">
        <v>28341.7956869257</v>
      </c>
      <c r="I55" s="0" t="n">
        <v>-13428.7956869257</v>
      </c>
    </row>
    <row r="56" customFormat="false" ht="15" hidden="false" customHeight="false" outlineLevel="0" collapsed="false">
      <c r="G56" s="0" t="n">
        <v>31</v>
      </c>
      <c r="H56" s="0" t="n">
        <v>212392.017765145</v>
      </c>
      <c r="I56" s="0" t="n">
        <v>131482.982234855</v>
      </c>
    </row>
    <row r="57" customFormat="false" ht="15" hidden="false" customHeight="false" outlineLevel="0" collapsed="false">
      <c r="G57" s="0" t="n">
        <v>32</v>
      </c>
      <c r="H57" s="0" t="n">
        <v>39934.9482955223</v>
      </c>
      <c r="I57" s="0" t="n">
        <v>15895.0517044777</v>
      </c>
    </row>
    <row r="58" customFormat="false" ht="15" hidden="false" customHeight="false" outlineLevel="0" collapsed="false">
      <c r="G58" s="0" t="n">
        <v>33</v>
      </c>
      <c r="H58" s="0" t="n">
        <v>73102.3503314794</v>
      </c>
      <c r="I58" s="0" t="n">
        <v>43528.6496685206</v>
      </c>
    </row>
    <row r="59" customFormat="false" ht="15" hidden="false" customHeight="false" outlineLevel="0" collapsed="false">
      <c r="G59" s="0" t="n">
        <v>34</v>
      </c>
      <c r="H59" s="0" t="n">
        <v>200113.891762947</v>
      </c>
      <c r="I59" s="0" t="n">
        <v>-156188.891762947</v>
      </c>
    </row>
    <row r="60" customFormat="false" ht="15" hidden="false" customHeight="false" outlineLevel="0" collapsed="false">
      <c r="G60" s="108" t="n">
        <v>35</v>
      </c>
      <c r="H60" s="108" t="n">
        <v>292265.697460887</v>
      </c>
      <c r="I60" s="108" t="n">
        <v>6917.30253911333</v>
      </c>
    </row>
  </sheetData>
  <mergeCells count="2">
    <mergeCell ref="G1:H1"/>
    <mergeCell ref="G3:H3"/>
  </mergeCells>
  <conditionalFormatting sqref="K17:K19">
    <cfRule type="cellIs" priority="2" operator="lessThan" aboveAverage="0" equalAverage="0" bottom="0" percent="0" rank="0" text="" dxfId="5">
      <formula>0.05</formula>
    </cfRule>
    <cfRule type="cellIs" priority="3" operator="greaterThan" aboveAverage="0" equalAverage="0" bottom="0" percent="0" rank="0" text="" dxfId="6">
      <formula>0.05</formula>
    </cfRule>
  </conditionalFormatting>
  <hyperlinks>
    <hyperlink ref="B1" r:id="rId2" display="EMIGRAZIONE"/>
    <hyperlink ref="C1" r:id="rId3" display="immigrazione 2015"/>
    <hyperlink ref="D1" r:id="rId4" display="pensioni 2015"/>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
  <legacyDrawing r:id="rId6"/>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108"/>
  <sheetViews>
    <sheetView showFormulas="false" showGridLines="true" showRowColHeaders="true" showZeros="true" rightToLeft="false" tabSelected="false" showOutlineSymbols="true" defaultGridColor="true" view="normal" topLeftCell="A11" colorId="64" zoomScale="70" zoomScaleNormal="70" zoomScalePageLayoutView="100" workbookViewId="0">
      <selection pane="topLeft" activeCell="E39" activeCellId="0" sqref="1:1048576"/>
    </sheetView>
  </sheetViews>
  <sheetFormatPr defaultColWidth="8.59765625" defaultRowHeight="15" customHeight="false" zeroHeight="false" outlineLevelRow="0" outlineLevelCol="0"/>
  <cols>
    <col collapsed="false" customWidth="true" hidden="false" outlineLevel="0" max="1" min="1" style="0" width="17.14"/>
    <col collapsed="false" customWidth="true" hidden="false" outlineLevel="0" max="2" min="2" style="0" width="15"/>
    <col collapsed="false" customWidth="true" hidden="false" outlineLevel="0" max="3" min="3" style="0" width="17.57"/>
    <col collapsed="false" customWidth="true" hidden="false" outlineLevel="0" max="4" min="4" style="0" width="12.86"/>
    <col collapsed="false" customWidth="true" hidden="false" outlineLevel="0" max="5" min="5" style="0" width="16.29"/>
    <col collapsed="false" customWidth="true" hidden="false" outlineLevel="0" max="6" min="6" style="0" width="17.57"/>
    <col collapsed="false" customWidth="true" hidden="false" outlineLevel="0" max="7" min="7" style="0" width="13.71"/>
    <col collapsed="false" customWidth="true" hidden="false" outlineLevel="0" max="8" min="8" style="0" width="16.43"/>
    <col collapsed="false" customWidth="true" hidden="false" outlineLevel="0" max="9" min="9" style="0" width="18"/>
    <col collapsed="false" customWidth="true" hidden="false" outlineLevel="0" max="10" min="10" style="0" width="12.57"/>
    <col collapsed="false" customWidth="true" hidden="false" outlineLevel="0" max="11" min="11" style="0" width="14.86"/>
    <col collapsed="false" customWidth="true" hidden="false" outlineLevel="0" max="12" min="12" style="0" width="17.43"/>
    <col collapsed="false" customWidth="true" hidden="false" outlineLevel="0" max="13" min="13" style="0" width="14.71"/>
    <col collapsed="false" customWidth="true" hidden="false" outlineLevel="0" max="14" min="14" style="0" width="15"/>
    <col collapsed="false" customWidth="true" hidden="false" outlineLevel="0" max="18" min="18" style="0" width="16.29"/>
    <col collapsed="false" customWidth="true" hidden="false" outlineLevel="0" max="24" min="24" style="0" width="13.14"/>
    <col collapsed="false" customWidth="true" hidden="false" outlineLevel="0" max="27" min="27" style="0" width="15"/>
    <col collapsed="false" customWidth="true" hidden="false" outlineLevel="0" max="29" min="29" style="0" width="16.57"/>
    <col collapsed="false" customWidth="true" hidden="false" outlineLevel="0" max="33" min="33" style="0" width="14"/>
    <col collapsed="false" customWidth="true" hidden="false" outlineLevel="0" max="34" min="34" style="0" width="12.72"/>
    <col collapsed="false" customWidth="true" hidden="false" outlineLevel="0" max="35" min="35" style="0" width="16.57"/>
    <col collapsed="false" customWidth="true" hidden="false" outlineLevel="0" max="37" min="37" style="0" width="12"/>
  </cols>
  <sheetData>
    <row r="1" customFormat="false" ht="16.4" hidden="false" customHeight="false" outlineLevel="0" collapsed="false">
      <c r="B1" s="73" t="s">
        <v>109</v>
      </c>
      <c r="C1" s="74" t="s">
        <v>110</v>
      </c>
      <c r="D1" s="76" t="s">
        <v>112</v>
      </c>
      <c r="E1" s="130" t="s">
        <v>201</v>
      </c>
      <c r="F1" s="130" t="s">
        <v>202</v>
      </c>
      <c r="G1" s="130" t="s">
        <v>203</v>
      </c>
      <c r="H1" s="131" t="s">
        <v>204</v>
      </c>
      <c r="I1" s="131" t="s">
        <v>205</v>
      </c>
      <c r="J1" s="131" t="s">
        <v>206</v>
      </c>
    </row>
    <row r="2" customFormat="false" ht="15" hidden="false" customHeight="false" outlineLevel="0" collapsed="false">
      <c r="A2" s="78" t="s">
        <v>116</v>
      </c>
      <c r="B2" s="114" t="n">
        <v>56689</v>
      </c>
      <c r="C2" s="95" t="n">
        <v>166323</v>
      </c>
      <c r="D2" s="123" t="n">
        <v>1434</v>
      </c>
      <c r="E2" s="132" t="n">
        <f aca="false">$O$32+($O$33*F2)+($O$34*G2)</f>
        <v>90106.3532369304</v>
      </c>
      <c r="F2" s="0" t="n">
        <f aca="false">C2+(C2*$N$21)</f>
        <v>177965.61</v>
      </c>
      <c r="G2" s="9" t="n">
        <f aca="false">D2+(D2+$O$21)</f>
        <v>2868.02</v>
      </c>
      <c r="H2" s="132" t="n">
        <f aca="false">$O$32+($O$33*I2)+($O$34*J2)</f>
        <v>93462.5047808715</v>
      </c>
      <c r="I2" s="0" t="n">
        <f aca="false">F2+(F2*$N$21)</f>
        <v>190423.2027</v>
      </c>
      <c r="J2" s="0" t="n">
        <f aca="false">G2+(G2*$O$21)</f>
        <v>2925.3804</v>
      </c>
      <c r="O2" s="133"/>
      <c r="P2" s="133"/>
      <c r="Q2" s="133"/>
      <c r="R2" s="133"/>
      <c r="S2" s="133"/>
      <c r="T2" s="133"/>
      <c r="U2" s="133"/>
      <c r="V2" s="133"/>
      <c r="W2" s="133"/>
      <c r="X2" s="133"/>
      <c r="Y2" s="133"/>
      <c r="Z2" s="133"/>
      <c r="AA2" s="133"/>
      <c r="AB2" s="133"/>
      <c r="AC2" s="133"/>
      <c r="AD2" s="133"/>
      <c r="AE2" s="133"/>
      <c r="AF2" s="133"/>
      <c r="AG2" s="133"/>
      <c r="AH2" s="133"/>
      <c r="AI2" s="133"/>
      <c r="AJ2" s="133"/>
      <c r="AK2" s="133"/>
    </row>
    <row r="3" customFormat="false" ht="15" hidden="false" customHeight="false" outlineLevel="0" collapsed="false">
      <c r="A3" s="84" t="s">
        <v>117</v>
      </c>
      <c r="B3" s="114" t="n">
        <v>89794</v>
      </c>
      <c r="C3" s="95" t="n">
        <v>146626</v>
      </c>
      <c r="D3" s="123" t="n">
        <v>2397</v>
      </c>
      <c r="E3" s="132" t="n">
        <f aca="false">$O$32+($O$33*F3)+($O$34*G3)</f>
        <v>100940.555474886</v>
      </c>
      <c r="F3" s="0" t="n">
        <f aca="false">C3+(C3*$N$21)</f>
        <v>156889.82</v>
      </c>
      <c r="G3" s="9" t="n">
        <f aca="false">D3+(D3+$O$21)</f>
        <v>4794.02</v>
      </c>
      <c r="H3" s="132" t="n">
        <f aca="false">$O$32+($O$33*I3)+($O$34*J3)</f>
        <v>104269.096957621</v>
      </c>
      <c r="I3" s="0" t="n">
        <f aca="false">F3+(F3*$N$21)</f>
        <v>167872.1074</v>
      </c>
      <c r="J3" s="0" t="n">
        <f aca="false">G3+(G3*$O$21)</f>
        <v>4889.9004</v>
      </c>
      <c r="O3" s="114"/>
      <c r="P3" s="114"/>
      <c r="Q3" s="114"/>
      <c r="R3" s="114"/>
      <c r="S3" s="114"/>
      <c r="T3" s="114"/>
      <c r="U3" s="114"/>
      <c r="V3" s="114"/>
      <c r="W3" s="114"/>
      <c r="X3" s="114"/>
      <c r="Y3" s="114"/>
      <c r="Z3" s="114"/>
      <c r="AA3" s="114"/>
      <c r="AB3" s="114"/>
      <c r="AC3" s="114"/>
      <c r="AD3" s="134"/>
      <c r="AE3" s="114"/>
      <c r="AF3" s="114"/>
      <c r="AG3" s="114"/>
      <c r="AH3" s="114"/>
      <c r="AI3" s="114"/>
      <c r="AJ3" s="114"/>
      <c r="AK3" s="114"/>
    </row>
    <row r="4" customFormat="false" ht="15" hidden="false" customHeight="false" outlineLevel="0" collapsed="false">
      <c r="A4" s="84" t="s">
        <v>118</v>
      </c>
      <c r="B4" s="114" t="n">
        <v>29470</v>
      </c>
      <c r="C4" s="95" t="n">
        <v>25223</v>
      </c>
      <c r="D4" s="123" t="n">
        <v>3124</v>
      </c>
      <c r="E4" s="132" t="n">
        <f aca="false">$O$32+($O$33*F4)+($O$34*G4)</f>
        <v>82693.8895852271</v>
      </c>
      <c r="F4" s="0" t="n">
        <f aca="false">C4+(C4*$N$21)</f>
        <v>26988.61</v>
      </c>
      <c r="G4" s="9" t="n">
        <f aca="false">D4+(D4+$O$21)</f>
        <v>6248.02</v>
      </c>
      <c r="H4" s="132" t="n">
        <f aca="false">$O$32+($O$33*I4)+($O$34*J4)</f>
        <v>84151.7843244433</v>
      </c>
      <c r="I4" s="0" t="n">
        <f aca="false">F4+(F4*$N$21)</f>
        <v>28877.8127</v>
      </c>
      <c r="J4" s="0" t="n">
        <f aca="false">G4+(G4*$O$21)</f>
        <v>6372.9804</v>
      </c>
      <c r="O4" s="95"/>
      <c r="P4" s="95"/>
      <c r="Q4" s="95"/>
      <c r="R4" s="95"/>
      <c r="S4" s="95"/>
      <c r="T4" s="95"/>
      <c r="U4" s="95"/>
      <c r="V4" s="95"/>
      <c r="W4" s="95"/>
      <c r="X4" s="95"/>
      <c r="Y4" s="95"/>
      <c r="Z4" s="95"/>
      <c r="AA4" s="95"/>
      <c r="AB4" s="95"/>
      <c r="AC4" s="95"/>
      <c r="AD4" s="99"/>
      <c r="AE4" s="95"/>
      <c r="AF4" s="94"/>
      <c r="AG4" s="95"/>
      <c r="AH4" s="94"/>
      <c r="AI4" s="95"/>
      <c r="AJ4" s="94"/>
      <c r="AK4" s="95"/>
    </row>
    <row r="5" customFormat="false" ht="15" hidden="false" customHeight="false" outlineLevel="0" collapsed="false">
      <c r="A5" s="84" t="s">
        <v>119</v>
      </c>
      <c r="B5" s="114" t="n">
        <v>29651</v>
      </c>
      <c r="C5" s="95" t="n">
        <v>11706</v>
      </c>
      <c r="D5" s="123" t="n">
        <v>1022</v>
      </c>
      <c r="E5" s="132" t="n">
        <f aca="false">$O$32+($O$33*F5)+($O$34*G5)</f>
        <v>45027.7634756037</v>
      </c>
      <c r="F5" s="0" t="n">
        <f aca="false">C5+(C5*$N$21)</f>
        <v>12525.42</v>
      </c>
      <c r="G5" s="9" t="n">
        <f aca="false">D5+(D5+$O$21)</f>
        <v>2044.02</v>
      </c>
      <c r="H5" s="132" t="n">
        <f aca="false">$O$32+($O$33*I5)+($O$34*J5)</f>
        <v>45564.6896840812</v>
      </c>
      <c r="I5" s="0" t="n">
        <f aca="false">F5+(F5*$N$21)</f>
        <v>13402.1994</v>
      </c>
      <c r="J5" s="0" t="n">
        <f aca="false">G5+(G5*$O$21)</f>
        <v>2084.9004</v>
      </c>
      <c r="O5" s="94"/>
      <c r="P5" s="94"/>
      <c r="Q5" s="95"/>
      <c r="R5" s="95"/>
      <c r="S5" s="94"/>
      <c r="T5" s="94"/>
      <c r="U5" s="94"/>
      <c r="V5" s="94"/>
      <c r="W5" s="94"/>
      <c r="X5" s="95"/>
      <c r="Y5" s="94"/>
      <c r="Z5" s="94"/>
      <c r="AA5" s="95"/>
      <c r="AB5" s="95"/>
      <c r="AC5" s="95"/>
      <c r="AD5" s="95"/>
      <c r="AE5" s="94"/>
      <c r="AF5" s="94"/>
      <c r="AG5" s="95"/>
      <c r="AH5" s="95"/>
      <c r="AI5" s="95"/>
      <c r="AJ5" s="95"/>
      <c r="AK5" s="95"/>
    </row>
    <row r="6" customFormat="false" ht="15" hidden="false" customHeight="false" outlineLevel="0" collapsed="false">
      <c r="A6" s="84" t="s">
        <v>120</v>
      </c>
      <c r="B6" s="114" t="n">
        <v>17183</v>
      </c>
      <c r="C6" s="95" t="n">
        <v>15183</v>
      </c>
      <c r="D6" s="124" t="n">
        <v>192</v>
      </c>
      <c r="E6" s="132" t="n">
        <f aca="false">$O$32+($O$33*F6)+($O$34*G6)</f>
        <v>32341.2582466445</v>
      </c>
      <c r="F6" s="0" t="n">
        <f aca="false">C6+(C6*$N$21)</f>
        <v>16245.81</v>
      </c>
      <c r="G6" s="9" t="n">
        <f aca="false">D6+(D6+$O$21)</f>
        <v>384.02</v>
      </c>
      <c r="H6" s="132" t="n">
        <f aca="false">$O$32+($O$33*I6)+($O$34*J6)</f>
        <v>32667.5782072947</v>
      </c>
      <c r="I6" s="0" t="n">
        <f aca="false">F6+(F6*$N$21)</f>
        <v>17383.0167</v>
      </c>
      <c r="J6" s="0" t="n">
        <f aca="false">G6+(G6*$O$21)</f>
        <v>391.7004</v>
      </c>
    </row>
    <row r="7" customFormat="false" ht="15" hidden="false" customHeight="false" outlineLevel="0" collapsed="false">
      <c r="A7" s="84" t="s">
        <v>121</v>
      </c>
      <c r="B7" s="114" t="n">
        <v>25684</v>
      </c>
      <c r="C7" s="95" t="n">
        <v>29602</v>
      </c>
      <c r="D7" s="123" t="n">
        <v>1342</v>
      </c>
      <c r="E7" s="132" t="n">
        <f aca="false">$O$32+($O$33*F7)+($O$34*G7)</f>
        <v>54690.6078153926</v>
      </c>
      <c r="F7" s="0" t="n">
        <f aca="false">C7+(C7*$N$21)</f>
        <v>31674.14</v>
      </c>
      <c r="G7" s="9" t="n">
        <f aca="false">D7+(D7+$O$21)</f>
        <v>2684.02</v>
      </c>
      <c r="H7" s="132" t="n">
        <f aca="false">$O$32+($O$33*I7)+($O$34*J7)</f>
        <v>55642.7479254578</v>
      </c>
      <c r="I7" s="0" t="n">
        <f aca="false">F7+(F7*$N$21)</f>
        <v>33891.3298</v>
      </c>
      <c r="J7" s="0" t="n">
        <f aca="false">G7+(G7*$O$21)</f>
        <v>2737.7004</v>
      </c>
    </row>
    <row r="8" customFormat="false" ht="15" hidden="false" customHeight="false" outlineLevel="0" collapsed="false">
      <c r="A8" s="84" t="s">
        <v>122</v>
      </c>
      <c r="B8" s="114" t="n">
        <v>44625</v>
      </c>
      <c r="C8" s="95" t="n">
        <v>78492</v>
      </c>
      <c r="D8" s="123" t="n">
        <v>1045</v>
      </c>
      <c r="E8" s="132" t="n">
        <f aca="false">$O$32+($O$33*F8)+($O$34*G8)</f>
        <v>61969.6244343091</v>
      </c>
      <c r="F8" s="0" t="n">
        <f aca="false">C8+(C8*$N$21)</f>
        <v>83986.44</v>
      </c>
      <c r="G8" s="9" t="n">
        <f aca="false">D8+(D8+$O$21)</f>
        <v>2090.02</v>
      </c>
      <c r="H8" s="132" t="n">
        <f aca="false">$O$32+($O$33*I8)+($O$34*J8)</f>
        <v>63673.708223488</v>
      </c>
      <c r="I8" s="0" t="n">
        <f aca="false">F8+(F8*$N$21)</f>
        <v>89865.4908</v>
      </c>
      <c r="J8" s="0" t="n">
        <f aca="false">G8+(G8*$O$21)</f>
        <v>2131.8204</v>
      </c>
      <c r="O8" s="9"/>
      <c r="P8" s="9"/>
      <c r="Q8" s="9"/>
      <c r="R8" s="9"/>
      <c r="S8" s="9"/>
      <c r="T8" s="9"/>
      <c r="U8" s="9"/>
      <c r="V8" s="9"/>
      <c r="W8" s="9"/>
      <c r="X8" s="9"/>
      <c r="Y8" s="9"/>
      <c r="Z8" s="9"/>
      <c r="AA8" s="9"/>
      <c r="AB8" s="9"/>
      <c r="AC8" s="9"/>
      <c r="AD8" s="9"/>
      <c r="AE8" s="9"/>
      <c r="AF8" s="9"/>
      <c r="AG8" s="9"/>
      <c r="AH8" s="9"/>
      <c r="AI8" s="9"/>
      <c r="AJ8" s="9"/>
      <c r="AK8" s="9"/>
    </row>
    <row r="9" customFormat="false" ht="15" hidden="false" customHeight="false" outlineLevel="0" collapsed="false">
      <c r="A9" s="84" t="s">
        <v>123</v>
      </c>
      <c r="B9" s="114" t="n">
        <v>13003</v>
      </c>
      <c r="C9" s="95" t="n">
        <v>15413</v>
      </c>
      <c r="D9" s="124" t="n">
        <v>307</v>
      </c>
      <c r="E9" s="132" t="n">
        <f aca="false">$O$32+($O$33*F9)+($O$34*G9)</f>
        <v>34275.578869337</v>
      </c>
      <c r="F9" s="0" t="n">
        <f aca="false">C9+(C9*$N$21)</f>
        <v>16491.91</v>
      </c>
      <c r="G9" s="9" t="n">
        <f aca="false">D9+(D9+$O$21)</f>
        <v>614.02</v>
      </c>
      <c r="H9" s="132" t="n">
        <f aca="false">$O$32+($O$33*I9)+($O$34*J9)</f>
        <v>34643.437841536</v>
      </c>
      <c r="I9" s="0" t="n">
        <f aca="false">F9+(F9*$N$21)</f>
        <v>17646.3437</v>
      </c>
      <c r="J9" s="0" t="n">
        <f aca="false">G9+(G9*$O$21)</f>
        <v>626.3004</v>
      </c>
    </row>
    <row r="10" customFormat="false" ht="15" hidden="false" customHeight="false" outlineLevel="0" collapsed="false">
      <c r="A10" s="84" t="s">
        <v>124</v>
      </c>
      <c r="B10" s="114" t="n">
        <v>16305</v>
      </c>
      <c r="C10" s="95" t="n">
        <v>28746</v>
      </c>
      <c r="D10" s="124" t="n">
        <v>910</v>
      </c>
      <c r="E10" s="132" t="n">
        <f aca="false">$O$32+($O$33*F10)+($O$34*G10)</f>
        <v>47426.2747625615</v>
      </c>
      <c r="F10" s="0" t="n">
        <f aca="false">C10+(C10*$N$21)</f>
        <v>30758.22</v>
      </c>
      <c r="G10" s="9" t="n">
        <f aca="false">D10+(D10+$O$21)</f>
        <v>1820.02</v>
      </c>
      <c r="H10" s="132" t="n">
        <f aca="false">$O$32+($O$33*I10)+($O$34*J10)</f>
        <v>48222.5115818952</v>
      </c>
      <c r="I10" s="0" t="n">
        <f aca="false">F10+(F10*$N$21)</f>
        <v>32911.2954</v>
      </c>
      <c r="J10" s="0" t="n">
        <f aca="false">G10+(G10*$O$21)</f>
        <v>1856.4204</v>
      </c>
    </row>
    <row r="11" customFormat="false" ht="15" hidden="false" customHeight="false" outlineLevel="0" collapsed="false">
      <c r="A11" s="84" t="s">
        <v>13</v>
      </c>
      <c r="B11" s="114" t="n">
        <v>324517</v>
      </c>
      <c r="C11" s="95" t="n">
        <v>364221</v>
      </c>
      <c r="D11" s="123" t="n">
        <v>11497</v>
      </c>
      <c r="E11" s="132" t="n">
        <f aca="false">$O$32+($O$33*F11)+($O$34*G11)</f>
        <v>303464.534881465</v>
      </c>
      <c r="F11" s="0" t="n">
        <f aca="false">C11+(C11*$N$21)</f>
        <v>389716.47</v>
      </c>
      <c r="G11" s="9" t="n">
        <f aca="false">D11+(D11+$O$21)</f>
        <v>22994.02</v>
      </c>
      <c r="H11" s="132" t="n">
        <f aca="false">$O$32+($O$33*I11)+($O$34*J11)</f>
        <v>313542.300735168</v>
      </c>
      <c r="I11" s="0" t="n">
        <f aca="false">F11+(F11*$N$21)</f>
        <v>416996.6229</v>
      </c>
      <c r="J11" s="0" t="n">
        <f aca="false">G11+(G11*$O$21)</f>
        <v>23453.9004</v>
      </c>
    </row>
    <row r="12" customFormat="false" ht="15" hidden="false" customHeight="false" outlineLevel="0" collapsed="false">
      <c r="A12" s="84" t="s">
        <v>11</v>
      </c>
      <c r="B12" s="114" t="n">
        <v>315882</v>
      </c>
      <c r="C12" s="95" t="n">
        <v>1549937</v>
      </c>
      <c r="D12" s="124" t="n">
        <v>16.08</v>
      </c>
      <c r="E12" s="132" t="n">
        <f aca="false">$O$32+($O$33*F12)+($O$34*G12)</f>
        <v>410168.472276995</v>
      </c>
      <c r="F12" s="0" t="n">
        <f aca="false">C12+(C12*$N$21)</f>
        <v>1658432.59</v>
      </c>
      <c r="G12" s="9" t="n">
        <f aca="false">D12+(D12+$O$21)</f>
        <v>32.18</v>
      </c>
      <c r="H12" s="132" t="n">
        <f aca="false">$O$32+($O$33*I12)+($O$34*J12)</f>
        <v>437086.283784678</v>
      </c>
      <c r="I12" s="0" t="n">
        <f aca="false">F12+(F12*$N$21)</f>
        <v>1774522.8713</v>
      </c>
      <c r="J12" s="0" t="n">
        <f aca="false">G12+(G12*$O$21)</f>
        <v>32.8236</v>
      </c>
    </row>
    <row r="13" customFormat="false" ht="15" hidden="false" customHeight="false" outlineLevel="0" collapsed="false">
      <c r="A13" s="84" t="s">
        <v>125</v>
      </c>
      <c r="B13" s="114" t="n">
        <v>109351</v>
      </c>
      <c r="C13" s="95" t="n">
        <v>64446</v>
      </c>
      <c r="D13" s="124" t="n">
        <v>3.47</v>
      </c>
      <c r="E13" s="132" t="n">
        <f aca="false">$O$32+($O$33*F13)+($O$34*G13)</f>
        <v>41483.4707272214</v>
      </c>
      <c r="F13" s="0" t="n">
        <f aca="false">C13+(C13*$N$21)</f>
        <v>68957.22</v>
      </c>
      <c r="G13" s="9" t="n">
        <f aca="false">D13+(D13+$O$21)</f>
        <v>6.96</v>
      </c>
      <c r="H13" s="132" t="n">
        <f aca="false">$O$32+($O$33*I13)+($O$34*J13)</f>
        <v>42603.6244557942</v>
      </c>
      <c r="I13" s="0" t="n">
        <f aca="false">F13+(F13*$N$21)</f>
        <v>73784.2254</v>
      </c>
      <c r="J13" s="0" t="n">
        <f aca="false">G13+(G13*$O$21)</f>
        <v>7.0992</v>
      </c>
    </row>
    <row r="14" customFormat="false" ht="15" hidden="false" customHeight="false" outlineLevel="0" collapsed="false">
      <c r="A14" s="84" t="s">
        <v>126</v>
      </c>
      <c r="B14" s="114" t="n">
        <v>43225</v>
      </c>
      <c r="C14" s="95" t="n">
        <v>58344</v>
      </c>
      <c r="D14" s="124" t="n">
        <v>2.97</v>
      </c>
      <c r="E14" s="132" t="n">
        <f aca="false">$O$32+($O$33*F14)+($O$34*G14)</f>
        <v>39961.6948046949</v>
      </c>
      <c r="F14" s="0" t="n">
        <f aca="false">C14+(C14*$N$21)</f>
        <v>62428.08</v>
      </c>
      <c r="G14" s="9" t="n">
        <f aca="false">D14+(D14+$O$21)</f>
        <v>5.96</v>
      </c>
      <c r="H14" s="132" t="n">
        <f aca="false">$O$32+($O$33*I14)+($O$34*J14)</f>
        <v>40975.7323205692</v>
      </c>
      <c r="I14" s="0" t="n">
        <f aca="false">F14+(F14*$N$21)</f>
        <v>66798.0456</v>
      </c>
      <c r="J14" s="0" t="n">
        <f aca="false">G14+(G14*$O$21)</f>
        <v>6.0792</v>
      </c>
    </row>
    <row r="15" customFormat="false" ht="15" hidden="false" customHeight="false" outlineLevel="0" collapsed="false">
      <c r="A15" s="84" t="s">
        <v>127</v>
      </c>
      <c r="B15" s="114" t="n">
        <v>4046</v>
      </c>
      <c r="C15" s="95" t="n">
        <v>5635</v>
      </c>
      <c r="D15" s="124" t="n">
        <v>40</v>
      </c>
      <c r="E15" s="132" t="n">
        <f aca="false">$O$32+($O$33*F15)+($O$34*G15)</f>
        <v>27491.5974207242</v>
      </c>
      <c r="F15" s="0" t="n">
        <f aca="false">C15+(C15*$N$21)</f>
        <v>6029.45</v>
      </c>
      <c r="G15" s="9" t="n">
        <f aca="false">D15+(D15+$O$21)</f>
        <v>80.02</v>
      </c>
      <c r="H15" s="132" t="n">
        <f aca="false">$O$32+($O$33*I15)+($O$34*J15)</f>
        <v>27602.5040946038</v>
      </c>
      <c r="I15" s="0" t="n">
        <f aca="false">F15+(F15*$N$21)</f>
        <v>6451.5115</v>
      </c>
      <c r="J15" s="0" t="n">
        <f aca="false">G15+(G15*$O$21)</f>
        <v>81.6204</v>
      </c>
    </row>
    <row r="16" customFormat="false" ht="15" hidden="false" customHeight="false" outlineLevel="0" collapsed="false">
      <c r="A16" s="84" t="s">
        <v>128</v>
      </c>
      <c r="B16" s="114" t="n">
        <v>67160</v>
      </c>
      <c r="C16" s="95" t="n">
        <v>80792</v>
      </c>
      <c r="D16" s="123" t="n">
        <v>1194</v>
      </c>
      <c r="E16" s="132" t="n">
        <f aca="false">$O$32+($O$33*F16)+($O$34*G16)</f>
        <v>64972.4314487514</v>
      </c>
      <c r="F16" s="0" t="n">
        <f aca="false">C16+(C16*$N$21)</f>
        <v>86447.44</v>
      </c>
      <c r="G16" s="9" t="n">
        <f aca="false">D16+(D16+$O$21)</f>
        <v>2388.02</v>
      </c>
      <c r="H16" s="132" t="n">
        <f aca="false">$O$32+($O$33*I16)+($O$34*J16)</f>
        <v>66765.0973691681</v>
      </c>
      <c r="I16" s="0" t="n">
        <f aca="false">F16+(F16*$N$21)</f>
        <v>92498.7608</v>
      </c>
      <c r="J16" s="0" t="n">
        <f aca="false">G16+(G16*$O$21)</f>
        <v>2435.7804</v>
      </c>
    </row>
    <row r="17" customFormat="false" ht="15" hidden="false" customHeight="false" outlineLevel="0" collapsed="false">
      <c r="A17" s="84" t="s">
        <v>14</v>
      </c>
      <c r="B17" s="114" t="n">
        <v>146955</v>
      </c>
      <c r="C17" s="95" t="n">
        <v>280078</v>
      </c>
      <c r="D17" s="123" t="n">
        <v>17291</v>
      </c>
      <c r="E17" s="132" t="n">
        <f aca="false">$O$32+($O$33*F17)+($O$34*G17)</f>
        <v>377174.378780176</v>
      </c>
      <c r="F17" s="0" t="n">
        <f aca="false">C17+(C17*$N$21)</f>
        <v>299683.46</v>
      </c>
      <c r="G17" s="9" t="n">
        <f aca="false">D17+(D17+$O$21)</f>
        <v>34582.02</v>
      </c>
      <c r="H17" s="132" t="n">
        <f aca="false">$O$32+($O$33*I17)+($O$34*J17)</f>
        <v>387682.7491395</v>
      </c>
      <c r="I17" s="0" t="n">
        <f aca="false">F17+(F17*$N$21)</f>
        <v>320661.3022</v>
      </c>
      <c r="J17" s="0" t="n">
        <f aca="false">G17+(G17*$O$21)</f>
        <v>35273.6604</v>
      </c>
    </row>
    <row r="18" customFormat="false" ht="15" hidden="false" customHeight="false" outlineLevel="0" collapsed="false">
      <c r="A18" s="84" t="s">
        <v>129</v>
      </c>
      <c r="B18" s="114" t="n">
        <v>20119</v>
      </c>
      <c r="C18" s="95" t="n">
        <v>9479</v>
      </c>
      <c r="D18" s="124" t="n">
        <v>588</v>
      </c>
      <c r="E18" s="132" t="n">
        <f aca="false">$O$32+($O$33*F18)+($O$34*G18)</f>
        <v>37390.7028499681</v>
      </c>
      <c r="F18" s="0" t="n">
        <f aca="false">C18+(C18*$N$21)</f>
        <v>10142.53</v>
      </c>
      <c r="G18" s="9" t="n">
        <f aca="false">D18+(D18+$O$21)</f>
        <v>1176.02</v>
      </c>
      <c r="H18" s="132" t="n">
        <f aca="false">$O$32+($O$33*I18)+($O$34*J18)</f>
        <v>37747.2672451315</v>
      </c>
      <c r="I18" s="0" t="n">
        <f aca="false">F18+(F18*$N$21)</f>
        <v>10852.5071</v>
      </c>
      <c r="J18" s="0" t="n">
        <f aca="false">G18+(G18*$O$21)</f>
        <v>1199.5404</v>
      </c>
    </row>
    <row r="19" customFormat="false" ht="15" hidden="false" customHeight="false" outlineLevel="0" collapsed="false">
      <c r="A19" s="84" t="s">
        <v>130</v>
      </c>
      <c r="B19" s="114" t="n">
        <v>50445</v>
      </c>
      <c r="C19" s="95" t="n">
        <v>31085</v>
      </c>
      <c r="D19" s="124" t="n">
        <v>859</v>
      </c>
      <c r="E19" s="132" t="n">
        <f aca="false">$O$32+($O$33*F19)+($O$34*G19)</f>
        <v>47173.9407812479</v>
      </c>
      <c r="F19" s="0" t="n">
        <f aca="false">C19+(C19*$N$21)</f>
        <v>33260.95</v>
      </c>
      <c r="G19" s="9" t="n">
        <f aca="false">D19+(D19+$O$21)</f>
        <v>1718.02</v>
      </c>
      <c r="H19" s="132" t="n">
        <f aca="false">$O$32+($O$33*I19)+($O$34*J19)</f>
        <v>47994.1406134899</v>
      </c>
      <c r="I19" s="0" t="n">
        <f aca="false">F19+(F19*$N$21)</f>
        <v>35589.2165</v>
      </c>
      <c r="J19" s="0" t="n">
        <f aca="false">G19+(G19*$O$21)</f>
        <v>1752.3804</v>
      </c>
    </row>
    <row r="20" customFormat="false" ht="15" hidden="false" customHeight="false" outlineLevel="0" collapsed="false">
      <c r="A20" s="84" t="s">
        <v>15</v>
      </c>
      <c r="B20" s="114" t="n">
        <v>12644</v>
      </c>
      <c r="C20" s="95" t="n">
        <v>23803</v>
      </c>
      <c r="D20" s="124" t="n">
        <v>95</v>
      </c>
      <c r="E20" s="132" t="n">
        <f aca="false">$O$32+($O$33*F20)+($O$34*G20)</f>
        <v>32896.032019013</v>
      </c>
      <c r="F20" s="0" t="n">
        <f aca="false">C20+(C20*$N$21)</f>
        <v>25469.21</v>
      </c>
      <c r="G20" s="9" t="n">
        <f aca="false">D20+(D20+$O$21)</f>
        <v>190.02</v>
      </c>
      <c r="H20" s="132" t="n">
        <f aca="false">$O$32+($O$33*I20)+($O$34*J20)</f>
        <v>33340.3579081452</v>
      </c>
      <c r="I20" s="0" t="n">
        <f aca="false">F20+(F20*$N$21)</f>
        <v>27252.0547</v>
      </c>
      <c r="J20" s="0" t="n">
        <f aca="false">G20+(G20*$O$21)</f>
        <v>193.8204</v>
      </c>
    </row>
    <row r="21" customFormat="false" ht="16.4" hidden="false" customHeight="false" outlineLevel="0" collapsed="false">
      <c r="A21" s="84" t="s">
        <v>131</v>
      </c>
      <c r="B21" s="114" t="n">
        <v>8255</v>
      </c>
      <c r="C21" s="95" t="n">
        <v>18202</v>
      </c>
      <c r="D21" s="124" t="n">
        <v>96</v>
      </c>
      <c r="E21" s="132" t="n">
        <f aca="false">$O$32+($O$33*F21)+($O$34*G21)</f>
        <v>31523.0163088916</v>
      </c>
      <c r="F21" s="0" t="n">
        <f aca="false">C21+(C21*$N$21)</f>
        <v>19476.14</v>
      </c>
      <c r="G21" s="9" t="n">
        <f aca="false">D21+(D21+$O$21)</f>
        <v>192.02</v>
      </c>
      <c r="H21" s="132" t="n">
        <f aca="false">$O$32+($O$33*I21)+($O$34*J21)</f>
        <v>31870.4148945584</v>
      </c>
      <c r="I21" s="0" t="n">
        <f aca="false">F21+(F21*$N$21)</f>
        <v>20839.4698</v>
      </c>
      <c r="J21" s="0" t="n">
        <f aca="false">G21+(G21*$O$21)</f>
        <v>195.8604</v>
      </c>
      <c r="L21" s="63" t="s">
        <v>207</v>
      </c>
      <c r="N21" s="135" t="n">
        <v>0.07</v>
      </c>
      <c r="O21" s="135" t="n">
        <v>0.02</v>
      </c>
    </row>
    <row r="22" customFormat="false" ht="15" hidden="false" customHeight="false" outlineLevel="0" collapsed="false">
      <c r="A22" s="84" t="s">
        <v>132</v>
      </c>
      <c r="B22" s="88" t="n">
        <f aca="false">MEDIAN(B2:B21,B23:B28,B30:B34,B36)</f>
        <v>43925</v>
      </c>
      <c r="C22" s="95" t="n">
        <v>4553</v>
      </c>
      <c r="D22" s="89" t="n">
        <f aca="false">MEDIAN(D2:D21,D23:D36)</f>
        <v>1119.5</v>
      </c>
      <c r="E22" s="132" t="n">
        <f aca="false">$O$32+($O$33*F22)+($O$34*G22)</f>
        <v>44845.0441644737</v>
      </c>
      <c r="F22" s="0" t="n">
        <f aca="false">C22+(C22*$N$21)</f>
        <v>4871.71</v>
      </c>
      <c r="G22" s="9" t="n">
        <f aca="false">D22+(D22+$O$21)</f>
        <v>2239.02</v>
      </c>
      <c r="H22" s="132" t="n">
        <f aca="false">$O$32+($O$33*I22)+($O$34*J22)</f>
        <v>45289.6001548775</v>
      </c>
      <c r="I22" s="0" t="n">
        <f aca="false">F22+(F22*$N$21)</f>
        <v>5212.7297</v>
      </c>
      <c r="J22" s="0" t="n">
        <f aca="false">G22+(G22*$O$21)</f>
        <v>2283.8004</v>
      </c>
    </row>
    <row r="23" customFormat="false" ht="15" hidden="false" customHeight="false" outlineLevel="0" collapsed="false">
      <c r="A23" s="84" t="s">
        <v>133</v>
      </c>
      <c r="B23" s="114" t="n">
        <v>112330</v>
      </c>
      <c r="C23" s="95" t="n">
        <v>166872</v>
      </c>
      <c r="D23" s="123" t="n">
        <v>2752</v>
      </c>
      <c r="E23" s="132" t="n">
        <f aca="false">$O$32+($O$33*F23)+($O$34*G23)</f>
        <v>111757.664868221</v>
      </c>
      <c r="F23" s="0" t="n">
        <f aca="false">C23+(C23*$N$21)</f>
        <v>178553.04</v>
      </c>
      <c r="G23" s="9" t="n">
        <f aca="false">D23+(D23+$O$21)</f>
        <v>5504.02</v>
      </c>
      <c r="H23" s="132" t="n">
        <f aca="false">$O$32+($O$33*I23)+($O$34*J23)</f>
        <v>115553.651674801</v>
      </c>
      <c r="I23" s="0" t="n">
        <f aca="false">F23+(F23*$N$21)</f>
        <v>191051.7528</v>
      </c>
      <c r="J23" s="0" t="n">
        <f aca="false">G23+(G23*$O$21)</f>
        <v>5614.1004</v>
      </c>
    </row>
    <row r="24" customFormat="false" ht="15" hidden="false" customHeight="false" outlineLevel="0" collapsed="false">
      <c r="A24" s="84" t="s">
        <v>134</v>
      </c>
      <c r="B24" s="114" t="n">
        <v>1016</v>
      </c>
      <c r="C24" s="95" t="n">
        <v>1741</v>
      </c>
      <c r="D24" s="124" t="n">
        <v>853</v>
      </c>
      <c r="E24" s="132" t="n">
        <f aca="false">$O$32+($O$33*F24)+($O$34*G24)</f>
        <v>39797.1556486469</v>
      </c>
      <c r="F24" s="0" t="n">
        <f aca="false">C24+(C24*$N$21)</f>
        <v>1862.87</v>
      </c>
      <c r="G24" s="9" t="n">
        <f aca="false">D24+(D24+$O$21)</f>
        <v>1706.02</v>
      </c>
      <c r="H24" s="132" t="n">
        <f aca="false">$O$32+($O$33*I24)+($O$34*J24)</f>
        <v>40105.877744148</v>
      </c>
      <c r="I24" s="0" t="n">
        <f aca="false">F24+(F24*$N$21)</f>
        <v>1993.2709</v>
      </c>
      <c r="J24" s="0" t="n">
        <f aca="false">G24+(G24*$O$21)</f>
        <v>1740.1404</v>
      </c>
    </row>
    <row r="25" customFormat="false" ht="15" hidden="false" customHeight="false" outlineLevel="0" collapsed="false">
      <c r="A25" s="84" t="s">
        <v>135</v>
      </c>
      <c r="B25" s="114" t="n">
        <v>29173</v>
      </c>
      <c r="C25" s="95" t="n">
        <v>60816</v>
      </c>
      <c r="D25" s="124" t="n">
        <v>757</v>
      </c>
      <c r="E25" s="132" t="n">
        <f aca="false">$O$32+($O$33*F25)+($O$34*G25)</f>
        <v>52883.721959861</v>
      </c>
      <c r="F25" s="0" t="n">
        <f aca="false">C25+(C25*$N$21)</f>
        <v>65073.12</v>
      </c>
      <c r="G25" s="9" t="n">
        <f aca="false">D25+(D25+$O$21)</f>
        <v>1514.02</v>
      </c>
      <c r="H25" s="132" t="n">
        <f aca="false">$O$32+($O$33*I25)+($O$34*J25)</f>
        <v>54186.8592578064</v>
      </c>
      <c r="I25" s="0" t="n">
        <f aca="false">F25+(F25*$N$21)</f>
        <v>69628.2384</v>
      </c>
      <c r="J25" s="0" t="n">
        <f aca="false">G25+(G25*$O$21)</f>
        <v>1544.3004</v>
      </c>
    </row>
    <row r="26" customFormat="false" ht="15" hidden="false" customHeight="false" outlineLevel="0" collapsed="false">
      <c r="A26" s="84" t="s">
        <v>136</v>
      </c>
      <c r="B26" s="114" t="n">
        <v>258837</v>
      </c>
      <c r="C26" s="95" t="n">
        <v>218147</v>
      </c>
      <c r="D26" s="123" t="n">
        <v>8405</v>
      </c>
      <c r="E26" s="132" t="n">
        <f aca="false">$O$32+($O$33*F26)+($O$34*G26)</f>
        <v>216756.532801412</v>
      </c>
      <c r="F26" s="0" t="n">
        <f aca="false">C26+(C26*$N$21)</f>
        <v>233417.29</v>
      </c>
      <c r="G26" s="9" t="n">
        <f aca="false">D26+(D26+$O$21)</f>
        <v>16810.02</v>
      </c>
      <c r="H26" s="132" t="n">
        <f aca="false">$O$32+($O$33*I26)+($O$34*J26)</f>
        <v>223288.440525746</v>
      </c>
      <c r="I26" s="0" t="n">
        <f aca="false">F26+(F26*$N$21)</f>
        <v>249756.5003</v>
      </c>
      <c r="J26" s="0" t="n">
        <f aca="false">G26+(G26*$O$21)</f>
        <v>17146.2204</v>
      </c>
    </row>
    <row r="27" customFormat="false" ht="15" hidden="false" customHeight="false" outlineLevel="0" collapsed="false">
      <c r="A27" s="84" t="s">
        <v>137</v>
      </c>
      <c r="B27" s="114" t="n">
        <v>40377</v>
      </c>
      <c r="C27" s="95" t="n">
        <v>36849</v>
      </c>
      <c r="D27" s="123" t="n">
        <v>2743</v>
      </c>
      <c r="E27" s="132" t="n">
        <f aca="false">$O$32+($O$33*F27)+($O$34*G27)</f>
        <v>79358.2706167841</v>
      </c>
      <c r="F27" s="0" t="n">
        <f aca="false">C27+(C27*$N$21)</f>
        <v>39428.43</v>
      </c>
      <c r="G27" s="9" t="n">
        <f aca="false">D27+(D27+$O$21)</f>
        <v>5486.02</v>
      </c>
      <c r="H27" s="132" t="n">
        <f aca="false">$O$32+($O$33*I27)+($O$34*J27)</f>
        <v>80893.6456595757</v>
      </c>
      <c r="I27" s="0" t="n">
        <f aca="false">F27+(F27*$N$21)</f>
        <v>42188.4201</v>
      </c>
      <c r="J27" s="0" t="n">
        <f aca="false">G27+(G27*$O$21)</f>
        <v>5595.7404</v>
      </c>
    </row>
    <row r="28" customFormat="false" ht="15" hidden="false" customHeight="false" outlineLevel="0" collapsed="false">
      <c r="A28" s="84" t="s">
        <v>138</v>
      </c>
      <c r="B28" s="114" t="n">
        <v>194718</v>
      </c>
      <c r="C28" s="95" t="n">
        <v>132795</v>
      </c>
      <c r="D28" s="123" t="n">
        <v>8842</v>
      </c>
      <c r="E28" s="132" t="n">
        <f aca="false">$O$32+($O$33*F28)+($O$34*G28)</f>
        <v>202718.411206258</v>
      </c>
      <c r="F28" s="0" t="n">
        <f aca="false">C28+(C28*$N$21)</f>
        <v>142090.65</v>
      </c>
      <c r="G28" s="9" t="n">
        <f aca="false">D28+(D28+$O$21)</f>
        <v>17684.02</v>
      </c>
      <c r="H28" s="132" t="n">
        <f aca="false">$O$32+($O$33*I28)+($O$34*J28)</f>
        <v>207910.96937718</v>
      </c>
      <c r="I28" s="0" t="n">
        <f aca="false">F28+(F28*$N$21)</f>
        <v>152036.9955</v>
      </c>
      <c r="J28" s="0" t="n">
        <f aca="false">G28+(G28*$O$21)</f>
        <v>18037.7004</v>
      </c>
    </row>
    <row r="29" customFormat="false" ht="15" hidden="false" customHeight="false" outlineLevel="0" collapsed="false">
      <c r="A29" s="91" t="s">
        <v>139</v>
      </c>
      <c r="B29" s="92" t="n">
        <f aca="false">MEDIAN(B2:B28,B30:B34,B36)</f>
        <v>43925</v>
      </c>
      <c r="C29" s="93" t="n">
        <f aca="false">MEDIAN(C2:C28,C30:C34)</f>
        <v>33967</v>
      </c>
      <c r="D29" s="95" t="n">
        <v>2907</v>
      </c>
      <c r="E29" s="132" t="n">
        <f aca="false">$O$32+($O$33*F29)+($O$34*G29)</f>
        <v>81320.5328009199</v>
      </c>
      <c r="F29" s="0" t="n">
        <f aca="false">C29+(C29*$N$21)</f>
        <v>36344.69</v>
      </c>
      <c r="G29" s="9" t="n">
        <f aca="false">D29+(D29+$O$21)</f>
        <v>5814.02</v>
      </c>
      <c r="H29" s="132" t="n">
        <f aca="false">$O$32+($O$33*I29)+($O$34*J29)</f>
        <v>82859.4087804748</v>
      </c>
      <c r="I29" s="0" t="n">
        <f aca="false">F29+(F29*$N$21)</f>
        <v>38888.8183</v>
      </c>
      <c r="J29" s="0" t="n">
        <f aca="false">G29+(G29*$O$21)</f>
        <v>5930.3004</v>
      </c>
    </row>
    <row r="30" customFormat="false" ht="15" hidden="false" customHeight="false" outlineLevel="0" collapsed="false">
      <c r="A30" s="84" t="s">
        <v>140</v>
      </c>
      <c r="B30" s="114" t="n">
        <v>3870</v>
      </c>
      <c r="C30" s="95" t="n">
        <v>6997</v>
      </c>
      <c r="D30" s="124" t="n">
        <v>907</v>
      </c>
      <c r="E30" s="132" t="n">
        <f aca="false">$O$32+($O$33*F30)+($O$34*G30)</f>
        <v>41982.4175184756</v>
      </c>
      <c r="F30" s="0" t="n">
        <f aca="false">C30+(C30*$N$21)</f>
        <v>7486.79</v>
      </c>
      <c r="G30" s="9" t="n">
        <f aca="false">D30+(D30+$O$21)</f>
        <v>1814.02</v>
      </c>
      <c r="H30" s="132" t="n">
        <f aca="false">$O$32+($O$33*I30)+($O$34*J30)</f>
        <v>42400.0329419939</v>
      </c>
      <c r="I30" s="0" t="n">
        <f aca="false">F30+(F30*$N$21)</f>
        <v>8010.8653</v>
      </c>
      <c r="J30" s="0" t="n">
        <f aca="false">G30+(G30*$O$21)</f>
        <v>1850.3004</v>
      </c>
      <c r="P30" s="136"/>
      <c r="Q30" s="136"/>
      <c r="R30" s="136"/>
      <c r="S30" s="136"/>
      <c r="T30" s="136"/>
      <c r="U30" s="136"/>
      <c r="AD30" s="136"/>
      <c r="AE30" s="136"/>
      <c r="AF30" s="136"/>
      <c r="AG30" s="136"/>
      <c r="AH30" s="136"/>
      <c r="AI30" s="136"/>
      <c r="AJ30" s="136"/>
      <c r="AK30" s="136"/>
    </row>
    <row r="31" customFormat="false" ht="15" hidden="false" customHeight="false" outlineLevel="0" collapsed="false">
      <c r="A31" s="84" t="s">
        <v>141</v>
      </c>
      <c r="B31" s="114" t="n">
        <v>14913</v>
      </c>
      <c r="C31" s="94" t="n">
        <v>15.42</v>
      </c>
      <c r="D31" s="124" t="n">
        <v>355</v>
      </c>
      <c r="E31" s="132" t="n">
        <f aca="false">$O$32+($O$33*F31)+($O$34*G31)</f>
        <v>31239.7324958003</v>
      </c>
      <c r="F31" s="0" t="n">
        <f aca="false">C31+(C31*$N$21)</f>
        <v>16.4994</v>
      </c>
      <c r="G31" s="9" t="n">
        <f aca="false">D31+(D31+$O$21)</f>
        <v>710.02</v>
      </c>
      <c r="H31" s="132" t="n">
        <f aca="false">$O$32+($O$33*I31)+($O$34*J31)</f>
        <v>31355.904441522</v>
      </c>
      <c r="I31" s="0" t="n">
        <f aca="false">F31+(F31*$N$21)</f>
        <v>17.654358</v>
      </c>
      <c r="J31" s="0" t="n">
        <f aca="false">G31+(G31*$O$21)</f>
        <v>724.2204</v>
      </c>
      <c r="P31" s="136"/>
      <c r="Q31" s="136"/>
      <c r="R31" s="136"/>
      <c r="S31" s="136"/>
      <c r="T31" s="136"/>
      <c r="U31" s="136"/>
      <c r="AD31" s="136"/>
      <c r="AE31" s="136"/>
      <c r="AF31" s="136"/>
      <c r="AG31" s="136"/>
      <c r="AH31" s="136"/>
      <c r="AI31" s="136"/>
      <c r="AJ31" s="136"/>
      <c r="AK31" s="136"/>
    </row>
    <row r="32" customFormat="false" ht="16.4" hidden="false" customHeight="false" outlineLevel="0" collapsed="false">
      <c r="A32" s="84" t="s">
        <v>12</v>
      </c>
      <c r="B32" s="114" t="n">
        <v>343875</v>
      </c>
      <c r="C32" s="95" t="n">
        <v>342114</v>
      </c>
      <c r="D32" s="123" t="n">
        <v>13188</v>
      </c>
      <c r="E32" s="132" t="n">
        <f aca="false">$O$32+($O$33*F32)+($O$34*G32)</f>
        <v>325584.858269957</v>
      </c>
      <c r="F32" s="0" t="n">
        <f aca="false">C32+(C32*$N$21)</f>
        <v>366061.98</v>
      </c>
      <c r="G32" s="9" t="n">
        <f aca="false">D32+(D32+$O$21)</f>
        <v>26376.02</v>
      </c>
      <c r="H32" s="132" t="n">
        <f aca="false">$O$32+($O$33*I32)+($O$34*J32)</f>
        <v>335830.846207992</v>
      </c>
      <c r="I32" s="0" t="n">
        <f aca="false">F32+(F32*$N$21)</f>
        <v>391686.3186</v>
      </c>
      <c r="J32" s="0" t="n">
        <f aca="false">G32+(G32*$O$21)</f>
        <v>26903.5404</v>
      </c>
      <c r="N32" s="137" t="s">
        <v>208</v>
      </c>
      <c r="O32" s="0" t="n">
        <v>25440.6976179832</v>
      </c>
      <c r="R32" s="136"/>
      <c r="S32" s="136"/>
      <c r="T32" s="136"/>
      <c r="U32" s="136"/>
      <c r="AD32" s="136"/>
      <c r="AE32" s="136"/>
      <c r="AF32" s="136"/>
      <c r="AG32" s="136"/>
      <c r="AH32" s="136"/>
      <c r="AI32" s="136"/>
      <c r="AJ32" s="136"/>
      <c r="AK32" s="136"/>
    </row>
    <row r="33" customFormat="false" ht="16.4" hidden="false" customHeight="false" outlineLevel="0" collapsed="false">
      <c r="A33" s="84" t="s">
        <v>142</v>
      </c>
      <c r="B33" s="114" t="n">
        <v>55830</v>
      </c>
      <c r="C33" s="94" t="n">
        <v>134.24</v>
      </c>
      <c r="D33" s="123" t="n">
        <v>1772</v>
      </c>
      <c r="E33" s="132" t="n">
        <f aca="false">$O$32+($O$33*F33)+($O$34*G33)</f>
        <v>54400.4205153712</v>
      </c>
      <c r="F33" s="0" t="n">
        <f aca="false">C33+(C33*$N$21)</f>
        <v>143.6368</v>
      </c>
      <c r="G33" s="9" t="n">
        <f aca="false">D33+(D33+$O$21)</f>
        <v>3544.02</v>
      </c>
      <c r="H33" s="132" t="n">
        <f aca="false">$O$32+($O$33*I33)+($O$34*J33)</f>
        <v>54981.279898982</v>
      </c>
      <c r="I33" s="0" t="n">
        <f aca="false">F33+(F33*$N$21)</f>
        <v>153.691376</v>
      </c>
      <c r="J33" s="0" t="n">
        <f aca="false">G33+(G33*$O$21)</f>
        <v>3614.9004</v>
      </c>
      <c r="L33" s="137" t="s">
        <v>209</v>
      </c>
      <c r="N33" s="138" t="s">
        <v>210</v>
      </c>
      <c r="O33" s="0" t="n">
        <v>0.231824388044649</v>
      </c>
      <c r="P33" s="136"/>
    </row>
    <row r="34" customFormat="false" ht="16.4" hidden="false" customHeight="false" outlineLevel="0" collapsed="false">
      <c r="A34" s="84" t="s">
        <v>143</v>
      </c>
      <c r="B34" s="114" t="n">
        <v>116631</v>
      </c>
      <c r="C34" s="95" t="n">
        <v>153627</v>
      </c>
      <c r="D34" s="123" t="n">
        <v>1476</v>
      </c>
      <c r="E34" s="132" t="n">
        <f aca="false">$O$32+($O$33*F34)+($O$34*G34)</f>
        <v>87642.694991941</v>
      </c>
      <c r="F34" s="0" t="n">
        <f aca="false">C34+(C34*$N$21)</f>
        <v>164380.89</v>
      </c>
      <c r="G34" s="9" t="n">
        <f aca="false">D34+(D34+$O$21)</f>
        <v>2952.02</v>
      </c>
      <c r="H34" s="132" t="n">
        <f aca="false">$O$32+($O$33*I34)+($O$34*J34)</f>
        <v>90792.1099009444</v>
      </c>
      <c r="I34" s="0" t="n">
        <f aca="false">F34+(F34*$N$21)</f>
        <v>175887.5523</v>
      </c>
      <c r="J34" s="0" t="n">
        <f aca="false">G34+(G34*$O$21)</f>
        <v>3011.0604</v>
      </c>
      <c r="N34" s="137" t="s">
        <v>211</v>
      </c>
      <c r="O34" s="0" t="n">
        <v>8.16203756867267</v>
      </c>
      <c r="P34" s="136"/>
      <c r="R34" s="136"/>
      <c r="S34" s="136"/>
      <c r="T34" s="136"/>
      <c r="U34" s="136"/>
      <c r="AD34" s="136"/>
      <c r="AE34" s="136"/>
      <c r="AF34" s="136"/>
      <c r="AG34" s="136"/>
      <c r="AH34" s="136"/>
      <c r="AI34" s="136"/>
      <c r="AJ34" s="136"/>
      <c r="AK34" s="136"/>
    </row>
    <row r="35" customFormat="false" ht="15" hidden="false" customHeight="false" outlineLevel="0" collapsed="false">
      <c r="A35" s="84" t="s">
        <v>144</v>
      </c>
      <c r="B35" s="114" t="n">
        <f aca="false">MEDIAN(B2:B34,B36)</f>
        <v>43925</v>
      </c>
      <c r="C35" s="94" t="n">
        <f aca="false">MEDIAN(C2:C34,C36)</f>
        <v>35408</v>
      </c>
      <c r="D35" s="123" t="n">
        <v>20395</v>
      </c>
      <c r="E35" s="132" t="n">
        <f aca="false">$O$32+($O$33*F35)+($O$34*G35)</f>
        <v>367153.40187201</v>
      </c>
      <c r="F35" s="0" t="n">
        <f aca="false">C35+(C35*$N$21)</f>
        <v>37886.56</v>
      </c>
      <c r="G35" s="9" t="n">
        <f aca="false">D35+(D35+$O$21)</f>
        <v>40790.02</v>
      </c>
      <c r="H35" s="132" t="n">
        <f aca="false">$O$32+($O$33*I35)+($O$34*J35)</f>
        <v>374426.807386446</v>
      </c>
      <c r="I35" s="0" t="n">
        <f aca="false">F35+(F35*$N$21)</f>
        <v>40538.6192</v>
      </c>
      <c r="J35" s="0" t="n">
        <f aca="false">G35+(G35*$O$21)</f>
        <v>41605.8204</v>
      </c>
      <c r="R35" s="136"/>
      <c r="S35" s="136"/>
      <c r="T35" s="136"/>
      <c r="U35" s="136"/>
      <c r="AD35" s="136"/>
      <c r="AE35" s="136"/>
      <c r="AF35" s="136"/>
      <c r="AG35" s="136"/>
      <c r="AH35" s="136"/>
      <c r="AI35" s="136"/>
      <c r="AJ35" s="136"/>
      <c r="AK35" s="136"/>
    </row>
    <row r="36" customFormat="false" ht="15" hidden="false" customHeight="false" outlineLevel="0" collapsed="false">
      <c r="A36" s="84" t="s">
        <v>145</v>
      </c>
      <c r="B36" s="114" t="n">
        <v>299183</v>
      </c>
      <c r="C36" s="95" t="n">
        <v>631452</v>
      </c>
      <c r="D36" s="123" t="n">
        <v>14756</v>
      </c>
      <c r="E36" s="132" t="n">
        <f aca="false">$O$32+($O$33*F36)+($O$34*G36)</f>
        <v>422951.905208542</v>
      </c>
      <c r="F36" s="0" t="n">
        <f aca="false">C36+(C36*$N$21)</f>
        <v>675653.64</v>
      </c>
      <c r="G36" s="9" t="n">
        <f aca="false">D36+(D36+$O$21)</f>
        <v>29512.02</v>
      </c>
      <c r="H36" s="132" t="n">
        <f aca="false">$O$32+($O$33*I36)+($O$34*J36)</f>
        <v>438733.77894151</v>
      </c>
      <c r="I36" s="0" t="n">
        <f aca="false">F36+(F36*$N$21)</f>
        <v>722949.3948</v>
      </c>
      <c r="J36" s="0" t="n">
        <f aca="false">G36+(G36*$O$21)</f>
        <v>30102.2604</v>
      </c>
      <c r="P36" s="136"/>
      <c r="Q36" s="136"/>
      <c r="R36" s="136"/>
      <c r="S36" s="136"/>
      <c r="T36" s="136"/>
      <c r="U36" s="136"/>
      <c r="AD36" s="136"/>
      <c r="AE36" s="136"/>
      <c r="AF36" s="136"/>
      <c r="AG36" s="136"/>
      <c r="AH36" s="136"/>
      <c r="AI36" s="136"/>
      <c r="AJ36" s="136"/>
      <c r="AK36" s="136"/>
    </row>
    <row r="37" customFormat="false" ht="15" hidden="false" customHeight="false" outlineLevel="0" collapsed="false">
      <c r="B37" s="133"/>
      <c r="P37" s="136"/>
      <c r="Q37" s="136"/>
      <c r="R37" s="136"/>
      <c r="S37" s="136"/>
      <c r="T37" s="136"/>
      <c r="U37" s="136"/>
      <c r="AD37" s="136"/>
      <c r="AE37" s="136"/>
      <c r="AF37" s="136"/>
      <c r="AG37" s="136"/>
      <c r="AH37" s="136"/>
      <c r="AI37" s="136"/>
      <c r="AJ37" s="136"/>
      <c r="AK37" s="136"/>
    </row>
    <row r="38" customFormat="false" ht="15" hidden="false" customHeight="false" outlineLevel="0" collapsed="false">
      <c r="B38" s="136"/>
      <c r="C38" s="136"/>
      <c r="D38" s="136"/>
      <c r="E38" s="136"/>
      <c r="F38" s="136"/>
      <c r="G38" s="136"/>
      <c r="H38" s="136"/>
      <c r="I38" s="136"/>
      <c r="J38" s="136"/>
      <c r="K38" s="136"/>
      <c r="L38" s="136"/>
      <c r="P38" s="136"/>
      <c r="Q38" s="136"/>
      <c r="R38" s="136"/>
      <c r="S38" s="136"/>
      <c r="T38" s="136"/>
      <c r="U38" s="136"/>
      <c r="AD38" s="136"/>
      <c r="AE38" s="136"/>
      <c r="AF38" s="136"/>
      <c r="AG38" s="136"/>
      <c r="AH38" s="136"/>
      <c r="AI38" s="136"/>
      <c r="AJ38" s="136"/>
      <c r="AK38" s="136"/>
    </row>
    <row r="39" customFormat="false" ht="15" hidden="false" customHeight="false" outlineLevel="0" collapsed="false">
      <c r="J39" s="136"/>
      <c r="K39" s="136"/>
      <c r="L39" s="136"/>
    </row>
    <row r="40" customFormat="false" ht="15" hidden="false" customHeight="false" outlineLevel="0" collapsed="false">
      <c r="B40" s="63" t="n">
        <v>2015</v>
      </c>
      <c r="C40" s="63"/>
      <c r="D40" s="63"/>
      <c r="E40" s="63"/>
      <c r="F40" s="63" t="n">
        <v>2016</v>
      </c>
      <c r="G40" s="63"/>
      <c r="H40" s="63"/>
      <c r="I40" s="63" t="n">
        <v>2017</v>
      </c>
    </row>
    <row r="41" customFormat="false" ht="16.4" hidden="false" customHeight="false" outlineLevel="0" collapsed="false">
      <c r="A41" s="98"/>
      <c r="L41" s="63" t="s">
        <v>212</v>
      </c>
      <c r="M41" s="0" t="n">
        <v>56092.7635052733</v>
      </c>
    </row>
    <row r="42" customFormat="false" ht="16.4" hidden="false" customHeight="false" outlineLevel="0" collapsed="false">
      <c r="B42" s="139" t="s">
        <v>213</v>
      </c>
      <c r="C42" s="9" t="n">
        <f aca="false">_xlfn.VAR.S(C2:C36)</f>
        <v>78279654483.6383</v>
      </c>
      <c r="D42" s="9"/>
      <c r="E42" s="139" t="s">
        <v>213</v>
      </c>
      <c r="F42" s="9" t="n">
        <f aca="false">_xlfn.VAR.S(F2:F36)</f>
        <v>89622376418.3175</v>
      </c>
      <c r="G42" s="9"/>
      <c r="H42" s="139" t="s">
        <v>213</v>
      </c>
      <c r="I42" s="9" t="n">
        <f aca="false">_xlfn.VAR.S(I2:I36)</f>
        <v>102608658761.332</v>
      </c>
      <c r="L42" s="63" t="s">
        <v>214</v>
      </c>
      <c r="M42" s="0" t="n">
        <v>35</v>
      </c>
    </row>
    <row r="43" customFormat="false" ht="16.4" hidden="false" customHeight="false" outlineLevel="0" collapsed="false">
      <c r="B43" s="139" t="s">
        <v>215</v>
      </c>
      <c r="C43" s="9" t="n">
        <f aca="false">_xlfn.VAR.S(D2:D36)</f>
        <v>29435090.2163165</v>
      </c>
      <c r="D43" s="9"/>
      <c r="E43" s="139" t="s">
        <v>215</v>
      </c>
      <c r="F43" s="9" t="n">
        <f aca="false">_xlfn.VAR.S(G2:G36)</f>
        <v>117740360.865266</v>
      </c>
      <c r="G43" s="9"/>
      <c r="H43" s="139" t="s">
        <v>215</v>
      </c>
      <c r="I43" s="9" t="n">
        <f aca="false">_xlfn.VAR.S(J2:J36)</f>
        <v>122497071.444223</v>
      </c>
      <c r="L43" s="63" t="s">
        <v>216</v>
      </c>
      <c r="M43" s="0" t="n">
        <f aca="false">_xlfn.T.INV.2T(0.05,33)</f>
        <v>2.03451529744934</v>
      </c>
    </row>
    <row r="44" customFormat="false" ht="16.4" hidden="false" customHeight="false" outlineLevel="0" collapsed="false">
      <c r="B44" s="139" t="s">
        <v>217</v>
      </c>
      <c r="C44" s="9" t="n">
        <f aca="false">AVERAGE(C2:C36)</f>
        <v>137966.390285714</v>
      </c>
      <c r="D44" s="9"/>
      <c r="E44" s="139" t="s">
        <v>217</v>
      </c>
      <c r="F44" s="9" t="n">
        <f aca="false">AVERAGE(F2:F36)</f>
        <v>147624.037605714</v>
      </c>
      <c r="G44" s="9"/>
      <c r="H44" s="139" t="s">
        <v>217</v>
      </c>
      <c r="I44" s="9" t="n">
        <f aca="false">AVERAGE(I2:I36)</f>
        <v>157957.720238114</v>
      </c>
    </row>
    <row r="45" customFormat="false" ht="16.4" hidden="false" customHeight="false" outlineLevel="0" collapsed="false">
      <c r="B45" s="139" t="s">
        <v>218</v>
      </c>
      <c r="C45" s="9" t="n">
        <f aca="false">AVERAGE(D2:D36)</f>
        <v>3562.372</v>
      </c>
      <c r="D45" s="9"/>
      <c r="E45" s="139" t="s">
        <v>218</v>
      </c>
      <c r="F45" s="9" t="n">
        <f aca="false">AVERAGE(G2:G36)</f>
        <v>7124.764</v>
      </c>
      <c r="G45" s="9"/>
      <c r="H45" s="139" t="s">
        <v>218</v>
      </c>
      <c r="I45" s="9" t="n">
        <f aca="false">AVERAGE(J2:J36)</f>
        <v>7267.25928</v>
      </c>
    </row>
    <row r="48" customFormat="false" ht="15" hidden="false" customHeight="false" outlineLevel="0" collapsed="false">
      <c r="B48" s="133"/>
    </row>
    <row r="49" customFormat="false" ht="15" hidden="false" customHeight="false" outlineLevel="0" collapsed="false">
      <c r="A49" s="63" t="s">
        <v>219</v>
      </c>
      <c r="B49" s="133"/>
      <c r="C49" s="63"/>
      <c r="G49" s="140" t="s">
        <v>220</v>
      </c>
    </row>
    <row r="50" customFormat="false" ht="15" hidden="false" customHeight="false" outlineLevel="0" collapsed="false">
      <c r="B50" s="133"/>
    </row>
    <row r="51" customFormat="false" ht="16.4" hidden="false" customHeight="false" outlineLevel="0" collapsed="false">
      <c r="B51" s="133" t="s">
        <v>221</v>
      </c>
      <c r="C51" s="0" t="s">
        <v>222</v>
      </c>
      <c r="D51" s="0" t="s">
        <v>223</v>
      </c>
      <c r="H51" s="133" t="s">
        <v>221</v>
      </c>
      <c r="I51" s="0" t="s">
        <v>222</v>
      </c>
      <c r="J51" s="0" t="s">
        <v>223</v>
      </c>
    </row>
    <row r="52" customFormat="false" ht="15" hidden="false" customHeight="false" outlineLevel="0" collapsed="false">
      <c r="A52" s="78" t="s">
        <v>116</v>
      </c>
      <c r="B52" s="9" t="n">
        <f aca="false">$C52-$M$43*$M$41*SQRT(1+(1/$M$42)+(($F2-$C$44)^2)/(($M$42-1)*$C$42)+(($G2-$C$45)^2)/(($M$42-1)*$C$43))</f>
        <v>-25694.9687827243</v>
      </c>
      <c r="C52" s="132" t="n">
        <v>90106.3532369304</v>
      </c>
      <c r="D52" s="9" t="n">
        <f aca="false">$C52+$M$43*$M$41*SQRT(1+(1/$M$42)+(($F2-$C$44)^2)/(($M$42-1)*$C$42)+(($G2-$C$45)^2)/(($M$42-1)*$C$43))</f>
        <v>205907.675256585</v>
      </c>
      <c r="G52" s="78" t="s">
        <v>116</v>
      </c>
      <c r="H52" s="9" t="n">
        <f aca="false">$I52-$M$43*$M$41*SQRT(1+(1/$M$42)+(($I2-$C$44)^2)/(($M$42-1)*$C$42)+(($J2-$C$45)^2)/(($M$42-1)*$C$43))</f>
        <v>-22358.8597156697</v>
      </c>
      <c r="I52" s="132" t="n">
        <v>93462.5047808715</v>
      </c>
      <c r="J52" s="9" t="n">
        <f aca="false">$I52+$M$43*$M$41*SQRT(1+(1/$M$42)+(($I2-$C$44)^2)/(($M$42-1)*$C$42)+(($J2-$C$45)^2)/(($M$42-1)*$C$43))</f>
        <v>209283.869277413</v>
      </c>
    </row>
    <row r="53" customFormat="false" ht="15" hidden="false" customHeight="false" outlineLevel="0" collapsed="false">
      <c r="A53" s="84" t="s">
        <v>117</v>
      </c>
      <c r="B53" s="9" t="n">
        <f aca="false">$C53-$M$43*$M$41*SQRT(1+(1/$M$42)+(($F3-$C$44)^2)/(($M$42-1)*$C$42)+(($G3-$C$45)^2)/(($M$42-1)*C44))</f>
        <v>-31759.433729021</v>
      </c>
      <c r="C53" s="132" t="n">
        <v>100940.555474886</v>
      </c>
      <c r="D53" s="9" t="n">
        <f aca="false">$C53+$M$43*$M$41*SQRT(1+(1/$M$42)+(($F3-$C$44)^2)/(($M$42-1)*$C$42)+(($G3-$C$45)^2)/(($M$42-1)*$C$43))</f>
        <v>216773.78083065</v>
      </c>
      <c r="G53" s="84" t="s">
        <v>117</v>
      </c>
      <c r="H53" s="9" t="n">
        <f aca="false">$I53-$M$43*$M$41*SQRT(1+(1/$M$42)+(($I3-$C$44)^2)/(($M$42-1)*$C$42)+(($J3-$C$45)^2)/(($M$42-1)*$C$43))</f>
        <v>-11589.2361795752</v>
      </c>
      <c r="I53" s="132" t="n">
        <v>104269.096957621</v>
      </c>
      <c r="J53" s="9" t="n">
        <f aca="false">$I53+$M$43*$M$41*SQRT(1+(1/$M$42)+(($I3-$C$44)^2)/(($M$42-1)*$C$42)+(($J3-$C$45)^2)/(($M$42-1)*$C$43))</f>
        <v>220127.430094818</v>
      </c>
    </row>
    <row r="54" customFormat="false" ht="15" hidden="false" customHeight="false" outlineLevel="0" collapsed="false">
      <c r="A54" s="84" t="s">
        <v>118</v>
      </c>
      <c r="B54" s="9" t="n">
        <f aca="false">$C54-$M$43*$M$41*SQRT(1+(1/$M$42)+(($F4-$C$44)^2)/(($M$42-1)*$C$42)+(($G4-$C$45)^2)/(($M$42-1)*C45))</f>
        <v>-805572.085309892</v>
      </c>
      <c r="C54" s="132" t="n">
        <v>82693.8895852271</v>
      </c>
      <c r="D54" s="9" t="n">
        <f aca="false">$C54+$M$43*$M$41*SQRT(1+(1/$M$42)+(($F4-$C$44)^2)/(($M$42-1)*$C$42)+(($G4-$C$45)^2)/(($M$42-1)*$C$43))</f>
        <v>199098.236495066</v>
      </c>
      <c r="G54" s="84" t="s">
        <v>118</v>
      </c>
      <c r="H54" s="9" t="n">
        <f aca="false">$I54-$M$43*$M$41*SQRT(1+(1/$M$42)+(($I4-$C$44)^2)/(($M$42-1)*$C$42)+(($J4-$C$45)^2)/(($M$42-1)*$C$43))</f>
        <v>-32282.2114145566</v>
      </c>
      <c r="I54" s="132" t="n">
        <v>84151.7843244433</v>
      </c>
      <c r="J54" s="9" t="n">
        <f aca="false">$I54+$M$43*$M$41*SQRT(1+(1/$M$42)+(($I4-$C$44)^2)/(($M$42-1)*$C$42)+(($J4-$C$45)^2)/(($M$42-1)*$C$43))</f>
        <v>200585.780063443</v>
      </c>
    </row>
    <row r="55" customFormat="false" ht="15" hidden="false" customHeight="false" outlineLevel="0" collapsed="false">
      <c r="A55" s="84" t="s">
        <v>119</v>
      </c>
      <c r="B55" s="9" t="n">
        <f aca="false">$C55-$M$43*$M$41*SQRT(1+(1/$M$42)+(($F5-$C$44)^2)/(($M$42-1)*$C$42)+(($G5-$C$45)^2)/(($M$42-1)*$C$43))</f>
        <v>-71173.971931811</v>
      </c>
      <c r="C55" s="132" t="n">
        <v>45027.7634756037</v>
      </c>
      <c r="D55" s="9" t="n">
        <f aca="false">$C55+$M$43*$M$41*SQRT(1+(1/$M$42)+(($F5-$C$44)^2)/(($M$42-1)*$C$42)+(($G5-$C$45)^2)/(($M$42-1)*$C$43))</f>
        <v>161229.498883018</v>
      </c>
      <c r="G55" s="84" t="s">
        <v>119</v>
      </c>
      <c r="H55" s="9" t="n">
        <f aca="false">$I55-$M$43*$M$41*SQRT(1+(1/$M$42)+(($I5-$C$44)^2)/(($M$42-1)*$C$42)+(($J5-$C$45)^2)/(($M$42-1)*$C$43))</f>
        <v>-70625.5720835608</v>
      </c>
      <c r="I55" s="132" t="n">
        <v>45564.6896840813</v>
      </c>
      <c r="J55" s="9" t="n">
        <f aca="false">$I55+$M$43*$M$41*SQRT(1+(1/$M$42)+(($I5-$C$44)^2)/(($M$42-1)*$C$42)+(($J5-$C$45)^2)/(($M$42-1)*$C$43))</f>
        <v>161754.951451723</v>
      </c>
    </row>
    <row r="56" customFormat="false" ht="15" hidden="false" customHeight="false" outlineLevel="0" collapsed="false">
      <c r="A56" s="84" t="s">
        <v>120</v>
      </c>
      <c r="B56" s="9" t="n">
        <f aca="false">$C56-$M$43*$M$41*SQRT(1+(1/$M$42)+(($F6-$C$44)^2)/(($M$42-1)*$C$42)+(($G6-$C$45)^2)/(($M$42-1)*$C$43))</f>
        <v>-84276.9356452812</v>
      </c>
      <c r="C56" s="132" t="n">
        <v>32341.2582466445</v>
      </c>
      <c r="D56" s="9" t="n">
        <f aca="false">$C56+$M$43*$M$41*SQRT(1+(1/$M$42)+(($F6-$C$44)^2)/(($M$42-1)*$C$42)+(($G6-$C$45)^2)/(($M$42-1)*$C$43))</f>
        <v>148959.45213857</v>
      </c>
      <c r="G56" s="84" t="s">
        <v>120</v>
      </c>
      <c r="H56" s="9" t="n">
        <f aca="false">$I56-$M$43*$M$41*SQRT(1+(1/$M$42)+(($I6-$C$44)^2)/(($M$42-1)*$C$42)+(($J6-$C$45)^2)/(($M$42-1)*$C$43))</f>
        <v>-83942.1135306642</v>
      </c>
      <c r="I56" s="132" t="n">
        <v>32667.5782072947</v>
      </c>
      <c r="J56" s="9" t="n">
        <f aca="false">$I56+$M$43*$M$41*SQRT(1+(1/$M$42)+(($I6-$C$44)^2)/(($M$42-1)*$C$42)+(($J6-$C$45)^2)/(($M$42-1)*$C$43))</f>
        <v>149277.269945254</v>
      </c>
    </row>
    <row r="57" customFormat="false" ht="15" hidden="false" customHeight="false" outlineLevel="0" collapsed="false">
      <c r="A57" s="84" t="s">
        <v>121</v>
      </c>
      <c r="B57" s="9" t="n">
        <f aca="false">$C57-$M$43*$M$41*SQRT(1+(1/$M$42)+(($F7-$C$44)^2)/(($M$42-1)*$C$42)+(($G7-$C$45)^2)/(($M$42-1)*$C$43))</f>
        <v>-61331.6674454389</v>
      </c>
      <c r="C57" s="132" t="n">
        <v>54690.6078153926</v>
      </c>
      <c r="D57" s="9" t="n">
        <f aca="false">$C57+$M$43*$M$41*SQRT(1+(1/$M$42)+(($F7-$C$44)^2)/(($M$42-1)*$C$42)+(($G7-$C$45)^2)/(($M$42-1)*$C$43))</f>
        <v>170712.883076224</v>
      </c>
      <c r="G57" s="84" t="s">
        <v>121</v>
      </c>
      <c r="H57" s="9" t="n">
        <f aca="false">$I57-$M$43*$M$41*SQRT(1+(1/$M$42)+(($I7-$C$44)^2)/(($M$42-1)*$C$42)+(($J7-$C$45)^2)/(($M$42-1)*$C$43))</f>
        <v>-60364.5634752011</v>
      </c>
      <c r="I57" s="132" t="n">
        <v>55642.7479254578</v>
      </c>
      <c r="J57" s="9" t="n">
        <f aca="false">$I57+$M$43*$M$41*SQRT(1+(1/$M$42)+(($I7-$C$44)^2)/(($M$42-1)*$C$42)+(($J7-$C$45)^2)/(($M$42-1)*$C$43))</f>
        <v>171650.059326117</v>
      </c>
    </row>
    <row r="58" customFormat="false" ht="15" hidden="false" customHeight="false" outlineLevel="0" collapsed="false">
      <c r="A58" s="84" t="s">
        <v>122</v>
      </c>
      <c r="B58" s="9" t="n">
        <f aca="false">$C58-$M$43*$M$41*SQRT(1+(1/$M$42)+(($F8-$C$44)^2)/(($M$42-1)*$C$42)+(($G8-$C$45)^2)/(($M$42-1)*$C$43))</f>
        <v>-53954.1100762503</v>
      </c>
      <c r="C58" s="132" t="n">
        <v>61969.6244343091</v>
      </c>
      <c r="D58" s="9" t="n">
        <f aca="false">$C58+$M$43*$M$41*SQRT(1+(1/$M$42)+(($F8-$C$44)^2)/(($M$42-1)*$C$42)+(($G8-$C$45)^2)/(($M$42-1)*$C$43))</f>
        <v>177893.358944869</v>
      </c>
      <c r="G58" s="84" t="s">
        <v>122</v>
      </c>
      <c r="H58" s="9" t="n">
        <f aca="false">$I58-$M$43*$M$41*SQRT(1+(1/$M$42)+(($I8-$C$44)^2)/(($M$42-1)*$C$42)+(($J8-$C$45)^2)/(($M$42-1)*$C$43))</f>
        <v>-52230.5472817027</v>
      </c>
      <c r="I58" s="132" t="n">
        <v>63673.708223488</v>
      </c>
      <c r="J58" s="9" t="n">
        <f aca="false">$I58+$M$43*$M$41*SQRT(1+(1/$M$42)+(($I8-$C$44)^2)/(($M$42-1)*$C$42)+(($J8-$C$45)^2)/(($M$42-1)*$C$43))</f>
        <v>179577.963728679</v>
      </c>
    </row>
    <row r="59" customFormat="false" ht="15" hidden="false" customHeight="false" outlineLevel="0" collapsed="false">
      <c r="A59" s="84" t="s">
        <v>123</v>
      </c>
      <c r="B59" s="9" t="n">
        <f aca="false">$C59-$M$43*$M$41*SQRT(1+(1/$M$42)+(($F9-$C$44)^2)/(($M$42-1)*$C$42)+(($G9-$C$45)^2)/(($M$42-1)*$C$43))</f>
        <v>-82262.7089483151</v>
      </c>
      <c r="C59" s="132" t="n">
        <v>34275.578869337</v>
      </c>
      <c r="D59" s="9" t="n">
        <f aca="false">$C59+$M$43*$M$41*SQRT(1+(1/$M$42)+(($F9-$C$44)^2)/(($M$42-1)*$C$42)+(($G9-$C$45)^2)/(($M$42-1)*$C$43))</f>
        <v>150813.866686989</v>
      </c>
      <c r="G59" s="84" t="s">
        <v>123</v>
      </c>
      <c r="H59" s="9" t="n">
        <f aca="false">$I59-$M$43*$M$41*SQRT(1+(1/$M$42)+(($I9-$C$44)^2)/(($M$42-1)*$C$42)+(($J9-$C$45)^2)/(($M$42-1)*$C$43))</f>
        <v>-81884.9545115576</v>
      </c>
      <c r="I59" s="132" t="n">
        <v>34643.437841536</v>
      </c>
      <c r="J59" s="9" t="n">
        <f aca="false">$I59+$M$43*$M$41*SQRT(1+(1/$M$42)+(($I9-$C$44)^2)/(($M$42-1)*$C$42)+(($J9-$C$45)^2)/(($M$42-1)*$C$43))</f>
        <v>151171.83019463</v>
      </c>
    </row>
    <row r="60" customFormat="false" ht="15" hidden="false" customHeight="false" outlineLevel="0" collapsed="false">
      <c r="A60" s="84" t="s">
        <v>124</v>
      </c>
      <c r="B60" s="9" t="n">
        <f aca="false">$C60-$M$43*$M$41*SQRT(1+(1/$M$42)+(($F10-$C$44)^2)/(($M$42-1)*$C$42)+(($G10-$C$45)^2)/(($M$42-1)*$C$43))</f>
        <v>-68727.0350294151</v>
      </c>
      <c r="C60" s="132" t="n">
        <v>47426.2747625615</v>
      </c>
      <c r="D60" s="9" t="n">
        <f aca="false">$C60+$M$43*$M$41*SQRT(1+(1/$M$42)+(($F10-$C$44)^2)/(($M$42-1)*$C$42)+(($G10-$C$45)^2)/(($M$42-1)*$C$43))</f>
        <v>163579.584554538</v>
      </c>
      <c r="G60" s="84" t="s">
        <v>124</v>
      </c>
      <c r="H60" s="9" t="n">
        <f aca="false">$I60-$M$43*$M$41*SQRT(1+(1/$M$42)+(($I10-$C$44)^2)/(($M$42-1)*$C$42)+(($J10-$C$45)^2)/(($M$42-1)*$C$43))</f>
        <v>-67914.1388596367</v>
      </c>
      <c r="I60" s="132" t="n">
        <v>48222.5115818952</v>
      </c>
      <c r="J60" s="9" t="n">
        <f aca="false">$I60+$M$43*$M$41*SQRT(1+(1/$M$42)+(($I10-$C$44)^2)/(($M$42-1)*$C$42)+(($J10-$C$45)^2)/(($M$42-1)*$C$43))</f>
        <v>164359.162023427</v>
      </c>
    </row>
    <row r="61" customFormat="false" ht="15" hidden="false" customHeight="false" outlineLevel="0" collapsed="false">
      <c r="A61" s="84" t="s">
        <v>13</v>
      </c>
      <c r="B61" s="9" t="n">
        <f aca="false">$C61-$M$43*$M$41*SQRT(1+(1/$M$42)+(($F11-$C$44)^2)/(($M$42-1)*$C$42)+(($G11-$C$45)^2)/(($M$42-1)*$C$43))</f>
        <v>167010.523483814</v>
      </c>
      <c r="C61" s="132" t="n">
        <v>303464.534881465</v>
      </c>
      <c r="D61" s="9" t="n">
        <f aca="false">$C61+$M$43*$M$41*SQRT(1+(1/$M$42)+(($F11-$C$44)^2)/(($M$42-1)*$C$42)+(($G11-$C$45)^2)/(($M$42-1)*$C$43))</f>
        <v>439918.546279115</v>
      </c>
      <c r="G61" s="84" t="s">
        <v>13</v>
      </c>
      <c r="H61" s="9" t="n">
        <f aca="false">$I61-$M$43*$M$41*SQRT(1+(1/$M$42)+(($I11-$C$44)^2)/(($M$42-1)*$C$42)+(($J11-$C$45)^2)/(($M$42-1)*$C$43))</f>
        <v>175970.915234317</v>
      </c>
      <c r="I61" s="132" t="n">
        <v>313542.300735168</v>
      </c>
      <c r="J61" s="9" t="n">
        <f aca="false">$I61+$M$43*$M$41*SQRT(1+(1/$M$42)+(($I11-$C$44)^2)/(($M$42-1)*$C$42)+(($J11-$C$45)^2)/(($M$42-1)*$C$43))</f>
        <v>451113.686236019</v>
      </c>
    </row>
    <row r="62" customFormat="false" ht="15" hidden="false" customHeight="false" outlineLevel="0" collapsed="false">
      <c r="A62" s="84" t="s">
        <v>11</v>
      </c>
      <c r="B62" s="9" t="n">
        <f aca="false">$C62-$M$43*$M$41*SQRT(1+(1/$M$42)+(($F12-$C$44)^2)/(($M$42-1)*$C$42)+(($G12-$C$45)^2)/(($M$42-1)*$C$43))</f>
        <v>252464.349079411</v>
      </c>
      <c r="C62" s="132" t="n">
        <v>410168.472276995</v>
      </c>
      <c r="D62" s="9" t="n">
        <f aca="false">$C62+$M$43*$M$41*SQRT(1+(1/$M$42)+(($F12-$C$44)^2)/(($M$42-1)*$C$42)+(($G12-$C$45)^2)/(($M$42-1)*$C$43))</f>
        <v>567872.595474579</v>
      </c>
      <c r="G62" s="84" t="s">
        <v>11</v>
      </c>
      <c r="H62" s="9" t="n">
        <f aca="false">$I62-$M$43*$M$41*SQRT(1+(1/$M$42)+(($I12-$C$44)^2)/(($M$42-1)*$C$42)+(($J12-$C$45)^2)/(($M$42-1)*$C$43))</f>
        <v>273795.290189789</v>
      </c>
      <c r="I62" s="132" t="n">
        <v>437086.283784678</v>
      </c>
      <c r="J62" s="9" t="n">
        <f aca="false">$I62+$M$43*$M$41*SQRT(1+(1/$M$42)+(($I12-$C$44)^2)/(($M$42-1)*$C$42)+(($J12-$C$45)^2)/(($M$42-1)*$C$43))</f>
        <v>600377.277379567</v>
      </c>
    </row>
    <row r="63" customFormat="false" ht="15" hidden="false" customHeight="false" outlineLevel="0" collapsed="false">
      <c r="A63" s="84" t="s">
        <v>125</v>
      </c>
      <c r="B63" s="9" t="n">
        <f aca="false">$C63-$M$43*$M$41*SQRT(1+(1/$M$42)+(($F13-$C$44)^2)/(($M$42-1)*$C$42)+(($G13-$C$45)^2)/(($M$42-1)*$C$43))</f>
        <v>-75065.4396905608</v>
      </c>
      <c r="C63" s="132" t="n">
        <v>41483.4707272214</v>
      </c>
      <c r="D63" s="9" t="n">
        <f aca="false">$C63+$M$43*$M$41*SQRT(1+(1/$M$42)+(($F13-$C$44)^2)/(($M$42-1)*$C$42)+(($G13-$C$45)^2)/(($M$42-1)*$C$43))</f>
        <v>158032.381145004</v>
      </c>
      <c r="G63" s="84" t="s">
        <v>125</v>
      </c>
      <c r="H63" s="9" t="n">
        <f aca="false">$I63-$M$43*$M$41*SQRT(1+(1/$M$42)+(($I13-$C$44)^2)/(($M$42-1)*$C$42)+(($J13-$C$45)^2)/(($M$42-1)*$C$43))</f>
        <v>-73931.7333477874</v>
      </c>
      <c r="I63" s="132" t="n">
        <v>42603.6244557942</v>
      </c>
      <c r="J63" s="9" t="n">
        <f aca="false">$I63+$M$43*$M$41*SQRT(1+(1/$M$42)+(($I13-$C$44)^2)/(($M$42-1)*$C$42)+(($J13-$C$45)^2)/(($M$42-1)*$C$43))</f>
        <v>159138.982259376</v>
      </c>
    </row>
    <row r="64" customFormat="false" ht="15" hidden="false" customHeight="false" outlineLevel="0" collapsed="false">
      <c r="A64" s="84" t="s">
        <v>126</v>
      </c>
      <c r="B64" s="9" t="n">
        <f aca="false">$C64-$M$43*$M$41*SQRT(1+(1/$M$42)+(($F14-$C$44)^2)/(($M$42-1)*$C$42)+(($G14-$C$45)^2)/(($M$42-1)*$C$43))</f>
        <v>-76607.4232546652</v>
      </c>
      <c r="C64" s="132" t="n">
        <v>39961.6948046949</v>
      </c>
      <c r="D64" s="9" t="n">
        <f aca="false">$C64+$M$43*$M$41*SQRT(1+(1/$M$42)+(($F14-$C$44)^2)/(($M$42-1)*$C$42)+(($G14-$C$45)^2)/(($M$42-1)*$C$43))</f>
        <v>156530.812864055</v>
      </c>
      <c r="G64" s="84" t="s">
        <v>126</v>
      </c>
      <c r="H64" s="9" t="n">
        <f aca="false">$I64-$M$43*$M$41*SQRT(1+(1/$M$42)+(($I14-$C$44)^2)/(($M$42-1)*$C$42)+(($J14-$C$45)^2)/(($M$42-1)*$C$43))</f>
        <v>-75579.8814420129</v>
      </c>
      <c r="I64" s="132" t="n">
        <v>40975.7323205693</v>
      </c>
      <c r="J64" s="9" t="n">
        <f aca="false">$I64+$M$43*$M$41*SQRT(1+(1/$M$42)+(($I14-$C$44)^2)/(($M$42-1)*$C$42)+(($J14-$C$45)^2)/(($M$42-1)*$C$43))</f>
        <v>157531.346083151</v>
      </c>
    </row>
    <row r="65" customFormat="false" ht="15" hidden="false" customHeight="false" outlineLevel="0" collapsed="false">
      <c r="A65" s="84" t="s">
        <v>127</v>
      </c>
      <c r="B65" s="9" t="n">
        <f aca="false">$C65-$M$43*$M$41*SQRT(1+(1/$M$42)+(($F15-$C$44)^2)/(($M$42-1)*$C$42)+(($G15-$C$45)^2)/(($M$42-1)*$C$43))</f>
        <v>-89293.822736567</v>
      </c>
      <c r="C65" s="132" t="n">
        <v>27491.5974207242</v>
      </c>
      <c r="D65" s="9" t="n">
        <f aca="false">$C65+$M$43*$M$41*SQRT(1+(1/$M$42)+(($F15-$C$44)^2)/(($M$42-1)*$C$42)+(($G15-$C$45)^2)/(($M$42-1)*$C$43))</f>
        <v>144277.017578015</v>
      </c>
      <c r="G65" s="84" t="s">
        <v>127</v>
      </c>
      <c r="H65" s="9" t="n">
        <f aca="false">$I65-$M$43*$M$41*SQRT(1+(1/$M$42)+(($I15-$C$44)^2)/(($M$42-1)*$C$42)+(($J15-$C$45)^2)/(($M$42-1)*$C$43))</f>
        <v>-89179.9656324332</v>
      </c>
      <c r="I65" s="132" t="n">
        <v>27602.5040946038</v>
      </c>
      <c r="J65" s="9" t="n">
        <f aca="false">$I65+$M$43*$M$41*SQRT(1+(1/$M$42)+(($I15-$C$44)^2)/(($M$42-1)*$C$42)+(($J15-$C$45)^2)/(($M$42-1)*$C$43))</f>
        <v>144384.973821641</v>
      </c>
    </row>
    <row r="66" customFormat="false" ht="15" hidden="false" customHeight="false" outlineLevel="0" collapsed="false">
      <c r="A66" s="84" t="s">
        <v>128</v>
      </c>
      <c r="B66" s="9" t="n">
        <f aca="false">$C66-$M$43*$M$41*SQRT(1+(1/$M$42)+(($F16-$C$44)^2)/(($M$42-1)*$C$42)+(($G16-$C$45)^2)/(($M$42-1)*$C$43))</f>
        <v>-50901.5424704688</v>
      </c>
      <c r="C66" s="132" t="n">
        <v>64972.4314487514</v>
      </c>
      <c r="D66" s="9" t="n">
        <f aca="false">$C66+$M$43*$M$41*SQRT(1+(1/$M$42)+(($F16-$C$44)^2)/(($M$42-1)*$C$42)+(($G16-$C$45)^2)/(($M$42-1)*$C$43))</f>
        <v>180846.405367972</v>
      </c>
      <c r="G66" s="84" t="s">
        <v>128</v>
      </c>
      <c r="H66" s="9" t="n">
        <f aca="false">$I66-$M$43*$M$41*SQRT(1+(1/$M$42)+(($I16-$C$44)^2)/(($M$42-1)*$C$42)+(($J16-$C$45)^2)/(($M$42-1)*$C$43))</f>
        <v>-49090.3118002879</v>
      </c>
      <c r="I66" s="132" t="n">
        <v>66765.0973691681</v>
      </c>
      <c r="J66" s="9" t="n">
        <f aca="false">$I66+$M$43*$M$41*SQRT(1+(1/$M$42)+(($I16-$C$44)^2)/(($M$42-1)*$C$42)+(($J16-$C$45)^2)/(($M$42-1)*$C$43))</f>
        <v>182620.506538624</v>
      </c>
    </row>
    <row r="67" customFormat="false" ht="15" hidden="false" customHeight="false" outlineLevel="0" collapsed="false">
      <c r="A67" s="84" t="s">
        <v>14</v>
      </c>
      <c r="B67" s="9" t="n">
        <f aca="false">$C67-$M$43*$M$41*SQRT(1+(1/$M$42)+(($F17-$C$44)^2)/(($M$42-1)*$C$42)+(($G17-$C$45)^2)/(($M$42-1)*$C$43))</f>
        <v>215787.989837659</v>
      </c>
      <c r="C67" s="132" t="n">
        <v>377174.378780176</v>
      </c>
      <c r="D67" s="9" t="n">
        <f aca="false">$C67+$M$43*$M$41*SQRT(1+(1/$M$42)+(($F17-$C$44)^2)/(($M$42-1)*$C$42)+(($G17-$C$45)^2)/(($M$42-1)*$C$43))</f>
        <v>538560.767722693</v>
      </c>
      <c r="G67" s="84" t="s">
        <v>14</v>
      </c>
      <c r="H67" s="9" t="n">
        <f aca="false">$I67-$M$43*$M$41*SQRT(1+(1/$M$42)+(($I17-$C$44)^2)/(($M$42-1)*$C$42)+(($J17-$C$45)^2)/(($M$42-1)*$C$43))</f>
        <v>224448.140272869</v>
      </c>
      <c r="I67" s="132" t="n">
        <v>387682.7491395</v>
      </c>
      <c r="J67" s="9" t="n">
        <f aca="false">$I67+$M$43*$M$41*SQRT(1+(1/$M$42)+(($I17-$C$44)^2)/(($M$42-1)*$C$42)+(($J17-$C$45)^2)/(($M$42-1)*$C$43))</f>
        <v>550917.358006131</v>
      </c>
    </row>
    <row r="68" customFormat="false" ht="15" hidden="false" customHeight="false" outlineLevel="0" collapsed="false">
      <c r="A68" s="84" t="s">
        <v>129</v>
      </c>
      <c r="B68" s="9" t="n">
        <f aca="false">$C68-$M$43*$M$41*SQRT(1+(1/$M$42)+(($F18-$C$44)^2)/(($M$42-1)*$C$42)+(($G18-$C$45)^2)/(($M$42-1)*$C$43))</f>
        <v>-79013.3461311885</v>
      </c>
      <c r="C68" s="132" t="n">
        <v>37390.7028499682</v>
      </c>
      <c r="D68" s="9" t="n">
        <f aca="false">$C68+$M$43*$M$41*SQRT(1+(1/$M$42)+(($F18-$C$44)^2)/(($M$42-1)*$C$42)+(($G18-$C$45)^2)/(($M$42-1)*$C$43))</f>
        <v>153794.751831125</v>
      </c>
      <c r="G68" s="84" t="s">
        <v>129</v>
      </c>
      <c r="H68" s="9" t="n">
        <f aca="false">$I68-$M$43*$M$41*SQRT(1+(1/$M$42)+(($I18-$C$44)^2)/(($M$42-1)*$C$42)+(($J18-$C$45)^2)/(($M$42-1)*$C$43))</f>
        <v>-78646.7329711841</v>
      </c>
      <c r="I68" s="132" t="n">
        <v>37747.2672451316</v>
      </c>
      <c r="J68" s="9" t="n">
        <f aca="false">$I68+$M$43*$M$41*SQRT(1+(1/$M$42)+(($I18-$C$44)^2)/(($M$42-1)*$C$42)+(($J18-$C$45)^2)/(($M$42-1)*$C$43))</f>
        <v>154141.267461447</v>
      </c>
    </row>
    <row r="69" customFormat="false" ht="15" hidden="false" customHeight="false" outlineLevel="0" collapsed="false">
      <c r="A69" s="84" t="s">
        <v>130</v>
      </c>
      <c r="B69" s="9" t="n">
        <f aca="false">$C69-$M$43*$M$41*SQRT(1+(1/$M$42)+(($F19-$C$44)^2)/(($M$42-1)*$C$42)+(($G19-$C$45)^2)/(($M$42-1)*$C$43))</f>
        <v>-68988.6908809064</v>
      </c>
      <c r="C69" s="132" t="n">
        <v>47173.9407812479</v>
      </c>
      <c r="D69" s="9" t="n">
        <f aca="false">$C69+$M$43*$M$41*SQRT(1+(1/$M$42)+(($F19-$C$44)^2)/(($M$42-1)*$C$42)+(($G19-$C$45)^2)/(($M$42-1)*$C$43))</f>
        <v>163336.572443402</v>
      </c>
      <c r="G69" s="84" t="s">
        <v>130</v>
      </c>
      <c r="H69" s="9" t="n">
        <f aca="false">$I69-$M$43*$M$41*SQRT(1+(1/$M$42)+(($I19-$C$44)^2)/(($M$42-1)*$C$42)+(($J19-$C$45)^2)/(($M$42-1)*$C$43))</f>
        <v>-68151.3012421691</v>
      </c>
      <c r="I69" s="132" t="n">
        <v>47994.1406134899</v>
      </c>
      <c r="J69" s="9" t="n">
        <f aca="false">$I69+$M$43*$M$41*SQRT(1+(1/$M$42)+(($I19-$C$44)^2)/(($M$42-1)*$C$42)+(($J19-$C$45)^2)/(($M$42-1)*$C$43))</f>
        <v>164139.582469149</v>
      </c>
    </row>
    <row r="70" customFormat="false" ht="15" hidden="false" customHeight="false" outlineLevel="0" collapsed="false">
      <c r="A70" s="84" t="s">
        <v>15</v>
      </c>
      <c r="B70" s="9" t="n">
        <f aca="false">$C70-$M$43*$M$41*SQRT(1+(1/$M$42)+(($F20-$C$44)^2)/(($M$42-1)*$C$42)+(($G20-$C$45)^2)/(($M$42-1)*$C$43))</f>
        <v>-83747.741962929</v>
      </c>
      <c r="C70" s="132" t="n">
        <v>32896.0320190131</v>
      </c>
      <c r="D70" s="9" t="n">
        <f aca="false">$C70+$M$43*$M$41*SQRT(1+(1/$M$42)+(($F20-$C$44)^2)/(($M$42-1)*$C$42)+(($G20-$C$45)^2)/(($M$42-1)*$C$43))</f>
        <v>149539.806000955</v>
      </c>
      <c r="G70" s="84" t="s">
        <v>15</v>
      </c>
      <c r="H70" s="9" t="n">
        <f aca="false">$I70-$M$43*$M$41*SQRT(1+(1/$M$42)+(($I20-$C$44)^2)/(($M$42-1)*$C$42)+(($J20-$C$45)^2)/(($M$42-1)*$C$43))</f>
        <v>-83293.6393090076</v>
      </c>
      <c r="I70" s="132" t="n">
        <v>33340.3579081452</v>
      </c>
      <c r="J70" s="9" t="n">
        <f aca="false">$I70+$M$43*$M$41*SQRT(1+(1/$M$42)+(($I20-$C$44)^2)/(($M$42-1)*$C$42)+(($J20-$C$45)^2)/(($M$42-1)*$C$43))</f>
        <v>149974.355125298</v>
      </c>
    </row>
    <row r="71" customFormat="false" ht="15" hidden="false" customHeight="false" outlineLevel="0" collapsed="false">
      <c r="A71" s="84" t="s">
        <v>131</v>
      </c>
      <c r="B71" s="9" t="n">
        <f aca="false">$C71-$M$43*$M$41*SQRT(1+(1/$M$42)+(($F21-$C$44)^2)/(($M$42-1)*$C$42)+(($G21-$C$45)^2)/(($M$42-1)*$C$43))</f>
        <v>-85149.0391368069</v>
      </c>
      <c r="C71" s="132" t="n">
        <v>31523.0163088917</v>
      </c>
      <c r="D71" s="9" t="n">
        <f aca="false">$C71+$M$43*$M$41*SQRT(1+(1/$M$42)+(($F21-$C$44)^2)/(($M$42-1)*$C$42)+(($G21-$C$45)^2)/(($M$42-1)*$C$43))</f>
        <v>148195.07175459</v>
      </c>
      <c r="G71" s="84" t="s">
        <v>131</v>
      </c>
      <c r="H71" s="9" t="n">
        <f aca="false">$I71-$M$43*$M$41*SQRT(1+(1/$M$42)+(($I21-$C$44)^2)/(($M$42-1)*$C$42)+(($J21-$C$45)^2)/(($M$42-1)*$C$43))</f>
        <v>-84793.4611302466</v>
      </c>
      <c r="I71" s="132" t="n">
        <v>31870.4148945584</v>
      </c>
      <c r="J71" s="9" t="n">
        <f aca="false">$I71+$M$43*$M$41*SQRT(1+(1/$M$42)+(($I21-$C$44)^2)/(($M$42-1)*$C$42)+(($J21-$C$45)^2)/(($M$42-1)*$C$43))</f>
        <v>148534.290919363</v>
      </c>
    </row>
    <row r="72" customFormat="false" ht="15" hidden="false" customHeight="false" outlineLevel="0" collapsed="false">
      <c r="A72" s="84" t="s">
        <v>132</v>
      </c>
      <c r="B72" s="9" t="n">
        <f aca="false">$C72-$M$43*$M$41*SQRT(1+(1/$M$42)+(($F22-$C$44)^2)/(($M$42-1)*$C$42)+(($G22-$C$45)^2)/(($M$42-1)*$C$43))</f>
        <v>-71367.32583697</v>
      </c>
      <c r="C72" s="132" t="n">
        <v>44845.0441644737</v>
      </c>
      <c r="D72" s="9" t="n">
        <f aca="false">$C72+$M$43*$M$41*SQRT(1+(1/$M$42)+(($F22-$C$44)^2)/(($M$42-1)*$C$42)+(($G22-$C$45)^2)/(($M$42-1)*$C$43))</f>
        <v>161057.414165917</v>
      </c>
      <c r="G72" s="84" t="s">
        <v>132</v>
      </c>
      <c r="H72" s="9" t="n">
        <f aca="false">$I72-$M$43*$M$41*SQRT(1+(1/$M$42)+(($I22-$C$44)^2)/(($M$42-1)*$C$42)+(($J22-$C$45)^2)/(($M$42-1)*$C$43))</f>
        <v>-70914.3371733509</v>
      </c>
      <c r="I72" s="132" t="n">
        <v>45289.6001548776</v>
      </c>
      <c r="J72" s="9" t="n">
        <f aca="false">$I72+$M$43*$M$41*SQRT(1+(1/$M$42)+(($I22-$C$44)^2)/(($M$42-1)*$C$42)+(($J22-$C$45)^2)/(($M$42-1)*$C$43))</f>
        <v>161493.537483106</v>
      </c>
    </row>
    <row r="73" customFormat="false" ht="15" hidden="false" customHeight="false" outlineLevel="0" collapsed="false">
      <c r="A73" s="84" t="s">
        <v>133</v>
      </c>
      <c r="B73" s="9" t="n">
        <f aca="false">$C73-$M$43*$M$41*SQRT(1+(1/$M$42)+(($F23-$C$44)^2)/(($M$42-1)*$C$42)+(($G23-$C$45)^2)/(($M$42-1)*$C$43))</f>
        <v>-4229.24937218688</v>
      </c>
      <c r="C73" s="132" t="n">
        <v>111757.664868221</v>
      </c>
      <c r="D73" s="9" t="n">
        <f aca="false">$C73+$M$43*$M$41*SQRT(1+(1/$M$42)+(($F23-$C$44)^2)/(($M$42-1)*$C$42)+(($G23-$C$45)^2)/(($M$42-1)*$C$43))</f>
        <v>227744.579108628</v>
      </c>
      <c r="G73" s="84" t="s">
        <v>133</v>
      </c>
      <c r="H73" s="9" t="n">
        <f aca="false">$I73-$M$43*$M$41*SQRT(1+(1/$M$42)+(($I23-$C$44)^2)/(($M$42-1)*$C$42)+(($J23-$C$45)^2)/(($M$42-1)*$C$43))</f>
        <v>-482.609591155138</v>
      </c>
      <c r="I73" s="132" t="n">
        <v>115553.651674801</v>
      </c>
      <c r="J73" s="9" t="n">
        <f aca="false">$I73+$M$43*$M$41*SQRT(1+(1/$M$42)+(($I23-$C$44)^2)/(($M$42-1)*$C$42)+(($J23-$C$45)^2)/(($M$42-1)*$C$43))</f>
        <v>231589.912940757</v>
      </c>
    </row>
    <row r="74" customFormat="false" ht="15" hidden="false" customHeight="false" outlineLevel="0" collapsed="false">
      <c r="A74" s="84" t="s">
        <v>134</v>
      </c>
      <c r="B74" s="9" t="n">
        <f aca="false">$C74-$M$43*$M$41*SQRT(1+(1/$M$42)+(($F24-$C$44)^2)/(($M$42-1)*$C$42)+(($G24-$C$45)^2)/(($M$42-1)*$C$43))</f>
        <v>-76527.1038529461</v>
      </c>
      <c r="C74" s="132" t="n">
        <v>39797.1556486469</v>
      </c>
      <c r="D74" s="9" t="n">
        <f aca="false">$C74+$M$43*$M$41*SQRT(1+(1/$M$42)+(($F24-$C$44)^2)/(($M$42-1)*$C$42)+(($G24-$C$45)^2)/(($M$42-1)*$C$43))</f>
        <v>156121.41515024</v>
      </c>
      <c r="G74" s="84" t="s">
        <v>134</v>
      </c>
      <c r="H74" s="9" t="n">
        <f aca="false">$I74-$M$43*$M$41*SQRT(1+(1/$M$42)+(($I24-$C$44)^2)/(($M$42-1)*$C$42)+(($J24-$C$45)^2)/(($M$42-1)*$C$43))</f>
        <v>-76210.6144704043</v>
      </c>
      <c r="I74" s="132" t="n">
        <v>40105.877744148</v>
      </c>
      <c r="J74" s="9" t="n">
        <f aca="false">$I74+$M$43*$M$41*SQRT(1+(1/$M$42)+(($I24-$C$44)^2)/(($M$42-1)*$C$42)+(($J24-$C$45)^2)/(($M$42-1)*$C$43))</f>
        <v>156422.3699587</v>
      </c>
    </row>
    <row r="75" customFormat="false" ht="15" hidden="false" customHeight="false" outlineLevel="0" collapsed="false">
      <c r="A75" s="84" t="s">
        <v>135</v>
      </c>
      <c r="B75" s="9" t="n">
        <f aca="false">$C75-$M$43*$M$41*SQRT(1+(1/$M$42)+(($F25-$C$44)^2)/(($M$42-1)*$C$42)+(($G25-$C$45)^2)/(($M$42-1)*$C$43))</f>
        <v>-63204.3676678774</v>
      </c>
      <c r="C75" s="132" t="n">
        <v>52883.721959861</v>
      </c>
      <c r="D75" s="9" t="n">
        <f aca="false">$C75+$M$43*$M$41*SQRT(1+(1/$M$42)+(($F25-$C$44)^2)/(($M$42-1)*$C$42)+(($G25-$C$45)^2)/(($M$42-1)*$C$43))</f>
        <v>168971.811587599</v>
      </c>
      <c r="G75" s="84" t="s">
        <v>135</v>
      </c>
      <c r="H75" s="9" t="n">
        <f aca="false">$I75-$M$43*$M$41*SQRT(1+(1/$M$42)+(($I25-$C$44)^2)/(($M$42-1)*$C$42)+(($J25-$C$45)^2)/(($M$42-1)*$C$43))</f>
        <v>-61880.7682012644</v>
      </c>
      <c r="I75" s="132" t="n">
        <v>54186.8592578064</v>
      </c>
      <c r="J75" s="9" t="n">
        <f aca="false">$I75+$M$43*$M$41*SQRT(1+(1/$M$42)+(($I25-$C$44)^2)/(($M$42-1)*$C$42)+(($J25-$C$45)^2)/(($M$42-1)*$C$43))</f>
        <v>170254.486716877</v>
      </c>
    </row>
    <row r="76" customFormat="false" ht="15" hidden="false" customHeight="false" outlineLevel="0" collapsed="false">
      <c r="A76" s="84" t="s">
        <v>136</v>
      </c>
      <c r="B76" s="9" t="n">
        <f aca="false">$C76-$M$43*$M$41*SQRT(1+(1/$M$42)+(($F26-$C$44)^2)/(($M$42-1)*$C$42)+(($G26-$C$45)^2)/(($M$42-1)*$C$43))</f>
        <v>91360.0311176928</v>
      </c>
      <c r="C76" s="132" t="n">
        <v>216756.532801412</v>
      </c>
      <c r="D76" s="9" t="n">
        <f aca="false">$C76+$M$43*$M$41*SQRT(1+(1/$M$42)+(($F26-$C$44)^2)/(($M$42-1)*$C$42)+(($G26-$C$45)^2)/(($M$42-1)*$C$43))</f>
        <v>342153.034485132</v>
      </c>
      <c r="G76" s="84" t="s">
        <v>136</v>
      </c>
      <c r="H76" s="9" t="n">
        <f aca="false">$I76-$M$43*$M$41*SQRT(1+(1/$M$42)+(($I26-$C$44)^2)/(($M$42-1)*$C$42)+(($J26-$C$45)^2)/(($M$42-1)*$C$43))</f>
        <v>97358.9236191863</v>
      </c>
      <c r="I76" s="132" t="n">
        <v>223288.440525746</v>
      </c>
      <c r="J76" s="9" t="n">
        <f aca="false">$I76+$M$43*$M$41*SQRT(1+(1/$M$42)+(($I26-$C$44)^2)/(($M$42-1)*$C$42)+(($J26-$C$45)^2)/(($M$42-1)*$C$43))</f>
        <v>349217.957432305</v>
      </c>
    </row>
    <row r="77" customFormat="false" ht="15" hidden="false" customHeight="false" outlineLevel="0" collapsed="false">
      <c r="A77" s="84" t="s">
        <v>137</v>
      </c>
      <c r="B77" s="9" t="n">
        <f aca="false">$C77-$M$43*$M$41*SQRT(1+(1/$M$42)+(($F27-$C$44)^2)/(($M$42-1)*$C$42)+(($G27-$C$45)^2)/(($M$42-1)*$C$43))</f>
        <v>-36794.6949284988</v>
      </c>
      <c r="C77" s="132" t="n">
        <v>79358.2706167841</v>
      </c>
      <c r="D77" s="9" t="n">
        <f aca="false">$C77+$M$43*$M$41*SQRT(1+(1/$M$42)+(($F27-$C$44)^2)/(($M$42-1)*$C$42)+(($G27-$C$45)^2)/(($M$42-1)*$C$43))</f>
        <v>195511.236162067</v>
      </c>
      <c r="G77" s="84" t="s">
        <v>137</v>
      </c>
      <c r="H77" s="9" t="n">
        <f aca="false">$I77-$M$43*$M$41*SQRT(1+(1/$M$42)+(($I27-$C$44)^2)/(($M$42-1)*$C$42)+(($J27-$C$45)^2)/(($M$42-1)*$C$43))</f>
        <v>-35272.3434177413</v>
      </c>
      <c r="I77" s="132" t="n">
        <v>80893.6456595757</v>
      </c>
      <c r="J77" s="9" t="n">
        <f aca="false">$I77+$M$43*$M$41*SQRT(1+(1/$M$42)+(($I27-$C$44)^2)/(($M$42-1)*$C$42)+(($J27-$C$45)^2)/(($M$42-1)*$C$43))</f>
        <v>197059.634736893</v>
      </c>
    </row>
    <row r="78" customFormat="false" ht="15" hidden="false" customHeight="false" outlineLevel="0" collapsed="false">
      <c r="A78" s="84" t="s">
        <v>138</v>
      </c>
      <c r="B78" s="9" t="n">
        <f aca="false">$C78-$M$43*$M$41*SQRT(1+(1/$M$42)+(($F28-$C$44)^2)/(($M$42-1)*$C$42)+(($G28-$C$45)^2)/(($M$42-1)*$C$43))</f>
        <v>76262.593331861</v>
      </c>
      <c r="C78" s="132" t="n">
        <v>202718.411206258</v>
      </c>
      <c r="D78" s="9" t="n">
        <f aca="false">$C78+$M$43*$M$41*SQRT(1+(1/$M$42)+(($F28-$C$44)^2)/(($M$42-1)*$C$42)+(($G28-$C$45)^2)/(($M$42-1)*$C$43))</f>
        <v>329174.229080656</v>
      </c>
      <c r="G78" s="84" t="s">
        <v>138</v>
      </c>
      <c r="H78" s="9" t="n">
        <f aca="false">$I78-$M$43*$M$41*SQRT(1+(1/$M$42)+(($I28-$C$44)^2)/(($M$42-1)*$C$42)+(($J28-$C$45)^2)/(($M$42-1)*$C$43))</f>
        <v>80932.3113327568</v>
      </c>
      <c r="I78" s="132" t="n">
        <v>207910.96937718</v>
      </c>
      <c r="J78" s="9" t="n">
        <f aca="false">$I78+$M$43*$M$41*SQRT(1+(1/$M$42)+(($I28-$C$44)^2)/(($M$42-1)*$C$42)+(($J28-$C$45)^2)/(($M$42-1)*$C$43))</f>
        <v>334889.627421603</v>
      </c>
    </row>
    <row r="79" customFormat="false" ht="15" hidden="false" customHeight="false" outlineLevel="0" collapsed="false">
      <c r="A79" s="91" t="s">
        <v>139</v>
      </c>
      <c r="B79" s="9" t="n">
        <f aca="false">$C79-$M$43*$M$41*SQRT(1+(1/$M$42)+(($F29-$C$44)^2)/(($M$42-1)*$C$42)+(($G29-$C$45)^2)/(($M$42-1)*$C$43))</f>
        <v>-34922.1169598667</v>
      </c>
      <c r="C79" s="132" t="n">
        <v>81320.53280092</v>
      </c>
      <c r="D79" s="9" t="n">
        <f aca="false">$C79+$M$43*$M$41*SQRT(1+(1/$M$42)+(($F29-$C$44)^2)/(($M$42-1)*$C$42)+(($G29-$C$45)^2)/(($M$42-1)*$C$43))</f>
        <v>197563.182561707</v>
      </c>
      <c r="G79" s="91" t="s">
        <v>139</v>
      </c>
      <c r="H79" s="9" t="n">
        <f aca="false">$I79-$M$43*$M$41*SQRT(1+(1/$M$42)+(($I29-$C$44)^2)/(($M$42-1)*$C$42)+(($J29-$C$45)^2)/(($M$42-1)*$C$43))</f>
        <v>-33402.5601271564</v>
      </c>
      <c r="I79" s="132" t="n">
        <v>82859.4087804748</v>
      </c>
      <c r="J79" s="9" t="n">
        <f aca="false">$I79+$M$43*$M$41*SQRT(1+(1/$M$42)+(($I29-$C$44)^2)/(($M$42-1)*$C$42)+(($J29-$C$45)^2)/(($M$42-1)*$C$43))</f>
        <v>199121.377688106</v>
      </c>
    </row>
    <row r="80" customFormat="false" ht="15" hidden="false" customHeight="false" outlineLevel="0" collapsed="false">
      <c r="A80" s="84" t="s">
        <v>140</v>
      </c>
      <c r="B80" s="9" t="n">
        <f aca="false">$C80-$M$43*$M$41*SQRT(1+(1/$M$42)+(($F30-$C$44)^2)/(($M$42-1)*$C$42)+(($G30-$C$45)^2)/(($M$42-1)*$C$43))</f>
        <v>-74288.5194327321</v>
      </c>
      <c r="C80" s="132" t="n">
        <v>41982.4175184756</v>
      </c>
      <c r="D80" s="9" t="n">
        <f aca="false">$C80+$M$43*$M$41*SQRT(1+(1/$M$42)+(($F30-$C$44)^2)/(($M$42-1)*$C$42)+(($G30-$C$45)^2)/(($M$42-1)*$C$43))</f>
        <v>158253.354469683</v>
      </c>
      <c r="G80" s="84" t="s">
        <v>140</v>
      </c>
      <c r="H80" s="9" t="n">
        <f aca="false">$I80-$M$43*$M$41*SQRT(1+(1/$M$42)+(($I30-$C$44)^2)/(($M$42-1)*$C$42)+(($J30-$C$45)^2)/(($M$42-1)*$C$43))</f>
        <v>-73861.0057556959</v>
      </c>
      <c r="I80" s="132" t="n">
        <v>42400.0329419939</v>
      </c>
      <c r="J80" s="9" t="n">
        <f aca="false">$I80+$M$43*$M$41*SQRT(1+(1/$M$42)+(($I30-$C$44)^2)/(($M$42-1)*$C$42)+(($J30-$C$45)^2)/(($M$42-1)*$C$43))</f>
        <v>158661.071639684</v>
      </c>
    </row>
    <row r="81" customFormat="false" ht="15" hidden="false" customHeight="false" outlineLevel="0" collapsed="false">
      <c r="A81" s="84" t="s">
        <v>141</v>
      </c>
      <c r="B81" s="9" t="n">
        <f aca="false">$C81-$M$43*$M$41*SQRT(1+(1/$M$42)+(($F31-$C$44)^2)/(($M$42-1)*$C$42)+(($G31-$C$45)^2)/(($M$42-1)*$C$43))</f>
        <v>-85357.1826866621</v>
      </c>
      <c r="C81" s="132" t="n">
        <v>31239.7324958003</v>
      </c>
      <c r="D81" s="9" t="n">
        <f aca="false">$C81+$M$43*$M$41*SQRT(1+(1/$M$42)+(($F31-$C$44)^2)/(($M$42-1)*$C$42)+(($G31-$C$45)^2)/(($M$42-1)*$C$43))</f>
        <v>147836.647678263</v>
      </c>
      <c r="G81" s="84" t="s">
        <v>141</v>
      </c>
      <c r="H81" s="9" t="n">
        <f aca="false">$I81-$M$43*$M$41*SQRT(1+(1/$M$42)+(($I31-$C$44)^2)/(($M$42-1)*$C$42)+(($J31-$C$45)^2)/(($M$42-1)*$C$43))</f>
        <v>-85236.4944965796</v>
      </c>
      <c r="I81" s="132" t="n">
        <v>31355.904441522</v>
      </c>
      <c r="J81" s="9" t="n">
        <f aca="false">$I81+$M$43*$M$41*SQRT(1+(1/$M$42)+(($I31-$C$44)^2)/(($M$42-1)*$C$42)+(($J31-$C$45)^2)/(($M$42-1)*$C$43))</f>
        <v>147948.303379624</v>
      </c>
    </row>
    <row r="82" customFormat="false" ht="15" hidden="false" customHeight="false" outlineLevel="0" collapsed="false">
      <c r="A82" s="84" t="s">
        <v>12</v>
      </c>
      <c r="B82" s="9" t="n">
        <f aca="false">$C82-$M$43*$M$41*SQRT(1+(1/$M$42)+(($F32-$C$44)^2)/(($M$42-1)*$C$42)+(($G32-$C$45)^2)/(($M$42-1)*$C$43))</f>
        <v>182674.297137334</v>
      </c>
      <c r="C82" s="132" t="n">
        <v>325584.858269957</v>
      </c>
      <c r="D82" s="9" t="n">
        <f aca="false">$C82+$M$43*$M$41*SQRT(1+(1/$M$42)+(($F32-$C$44)^2)/(($M$42-1)*$C$42)+(($G32-$C$45)^2)/(($M$42-1)*$C$43))</f>
        <v>468495.41940258</v>
      </c>
      <c r="G82" s="84" t="s">
        <v>12</v>
      </c>
      <c r="H82" s="9" t="n">
        <f aca="false">$I82-$M$43*$M$41*SQRT(1+(1/$M$42)+(($I32-$C$44)^2)/(($M$42-1)*$C$42)+(($J32-$C$45)^2)/(($M$42-1)*$C$43))</f>
        <v>191606.408183244</v>
      </c>
      <c r="I82" s="132" t="n">
        <v>335830.846207992</v>
      </c>
      <c r="J82" s="9" t="n">
        <f aca="false">$I82+$M$43*$M$41*SQRT(1+(1/$M$42)+(($I32-$C$44)^2)/(($M$42-1)*$C$42)+(($J32-$C$45)^2)/(($M$42-1)*$C$43))</f>
        <v>480055.284232741</v>
      </c>
    </row>
    <row r="83" customFormat="false" ht="15" hidden="false" customHeight="false" outlineLevel="0" collapsed="false">
      <c r="A83" s="84" t="s">
        <v>142</v>
      </c>
      <c r="B83" s="9" t="n">
        <f aca="false">$C83-$M$43*$M$41*SQRT(1+(1/$M$42)+(($F33-$C$44)^2)/(($M$42-1)*$C$42)+(($G33-$C$45)^2)/(($M$42-1)*$C$43))</f>
        <v>-61740.8617320529</v>
      </c>
      <c r="C83" s="132" t="n">
        <v>54400.4205153712</v>
      </c>
      <c r="D83" s="9" t="n">
        <f aca="false">$C83+$M$43*$M$41*SQRT(1+(1/$M$42)+(($F33-$C$44)^2)/(($M$42-1)*$C$42)+(($G33-$C$45)^2)/(($M$42-1)*$C$43))</f>
        <v>170541.702762795</v>
      </c>
      <c r="G83" s="84" t="s">
        <v>142</v>
      </c>
      <c r="H83" s="9" t="n">
        <f aca="false">$I83-$M$43*$M$41*SQRT(1+(1/$M$42)+(($I33-$C$44)^2)/(($M$42-1)*$C$42)+(($J33-$C$45)^2)/(($M$42-1)*$C$43))</f>
        <v>-61160.0796797192</v>
      </c>
      <c r="I83" s="132" t="n">
        <v>54981.279898982</v>
      </c>
      <c r="J83" s="9" t="n">
        <f aca="false">$I83+$M$43*$M$41*SQRT(1+(1/$M$42)+(($I33-$C$44)^2)/(($M$42-1)*$C$42)+(($J33-$C$45)^2)/(($M$42-1)*$C$43))</f>
        <v>171122.639477683</v>
      </c>
    </row>
    <row r="84" customFormat="false" ht="15" hidden="false" customHeight="false" outlineLevel="0" collapsed="false">
      <c r="A84" s="84" t="s">
        <v>143</v>
      </c>
      <c r="B84" s="9" t="n">
        <f aca="false">$C84-$M$43*$M$41*SQRT(1+(1/$M$42)+(($F34-$C$44)^2)/(($M$42-1)*$C$42)+(($G34-$C$45)^2)/(($M$42-1)*$C$43))</f>
        <v>-28133.4041010942</v>
      </c>
      <c r="C84" s="132" t="n">
        <v>87642.6949919411</v>
      </c>
      <c r="D84" s="9" t="n">
        <f aca="false">$C84+$M$43*$M$41*SQRT(1+(1/$M$42)+(($F34-$C$44)^2)/(($M$42-1)*$C$42)+(($G34-$C$45)^2)/(($M$42-1)*$C$43))</f>
        <v>203418.794084976</v>
      </c>
      <c r="G84" s="84" t="s">
        <v>143</v>
      </c>
      <c r="H84" s="9" t="n">
        <f aca="false">$I84-$M$43*$M$41*SQRT(1+(1/$M$42)+(($I34-$C$44)^2)/(($M$42-1)*$C$42)+(($J34-$C$45)^2)/(($M$42-1)*$C$43))</f>
        <v>-24995.7784956515</v>
      </c>
      <c r="I84" s="132" t="n">
        <v>90792.1099009445</v>
      </c>
      <c r="J84" s="9" t="n">
        <f aca="false">$I84+$M$43*$M$41*SQRT(1+(1/$M$42)+(($I34-$C$44)^2)/(($M$42-1)*$C$42)+(($J34-$C$45)^2)/(($M$42-1)*$C$43))</f>
        <v>206579.99829754</v>
      </c>
    </row>
    <row r="85" customFormat="false" ht="15" hidden="false" customHeight="false" outlineLevel="0" collapsed="false">
      <c r="A85" s="84" t="s">
        <v>144</v>
      </c>
      <c r="B85" s="9" t="n">
        <f aca="false">$C85-$M$43*$M$41*SQRT(1+(1/$M$42)+(($F35-$C$44)^2)/(($M$42-1)*$C$42)+(($G35-$C$45)^2)/(($M$42-1)*$C$43))</f>
        <v>189727.02623164</v>
      </c>
      <c r="C85" s="132" t="n">
        <v>367153.40187201</v>
      </c>
      <c r="D85" s="9" t="n">
        <f aca="false">$C85+$M$43*$M$41*SQRT(1+(1/$M$42)+(($F35-$C$44)^2)/(($M$42-1)*$C$42)+(($G35-$C$45)^2)/(($M$42-1)*$C$43))</f>
        <v>544579.777512379</v>
      </c>
      <c r="G85" s="84" t="s">
        <v>144</v>
      </c>
      <c r="H85" s="9" t="n">
        <f aca="false">$I85-$M$43*$M$41*SQRT(1+(1/$M$42)+(($I35-$C$44)^2)/(($M$42-1)*$C$42)+(($J35-$C$45)^2)/(($M$42-1)*$C$43))</f>
        <v>194769.745445521</v>
      </c>
      <c r="I85" s="132" t="n">
        <v>374426.807386446</v>
      </c>
      <c r="J85" s="9" t="n">
        <f aca="false">$I85+$M$43*$M$41*SQRT(1+(1/$M$42)+(($I35-$C$44)^2)/(($M$42-1)*$C$42)+(($J35-$C$45)^2)/(($M$42-1)*$C$43))</f>
        <v>554083.869327371</v>
      </c>
    </row>
    <row r="86" customFormat="false" ht="15" hidden="false" customHeight="false" outlineLevel="0" collapsed="false">
      <c r="A86" s="84" t="s">
        <v>145</v>
      </c>
      <c r="B86" s="9" t="n">
        <f aca="false">$C86-$M$43*$M$41*SQRT(1+(1/$M$42)+(($F36-$C$44)^2)/(($M$42-1)*$C$42)+(($G36-$C$45)^2)/(($M$42-1)*$C$43))</f>
        <v>269414.999511901</v>
      </c>
      <c r="C86" s="132" t="n">
        <v>422951.905208542</v>
      </c>
      <c r="D86" s="9" t="n">
        <f aca="false">$C86+$M$43*$M$41*SQRT(1+(1/$M$42)+(($F36-$C$44)^2)/(($M$42-1)*$C$42)+(($G36-$C$45)^2)/(($M$42-1)*$C$43))</f>
        <v>576488.810905183</v>
      </c>
      <c r="G86" s="84" t="s">
        <v>145</v>
      </c>
      <c r="H86" s="9" t="n">
        <f aca="false">$I86-$M$43*$M$41*SQRT(1+(1/$M$42)+(($I36-$C$44)^2)/(($M$42-1)*$C$42)+(($J36-$C$45)^2)/(($M$42-1)*$C$43))</f>
        <v>283052.753885809</v>
      </c>
      <c r="I86" s="132" t="n">
        <v>438733.77894151</v>
      </c>
      <c r="J86" s="9" t="n">
        <f aca="false">$I86+$M$43*$M$41*SQRT(1+(1/$M$42)+(($I36-$C$44)^2)/(($M$42-1)*$C$42)+(($J36-$C$45)^2)/(($M$42-1)*$C$43))</f>
        <v>594414.803997211</v>
      </c>
    </row>
    <row r="87" customFormat="false" ht="15" hidden="false" customHeight="false" outlineLevel="0" collapsed="false">
      <c r="C87" s="141"/>
    </row>
    <row r="88" customFormat="false" ht="15" hidden="false" customHeight="false" outlineLevel="0" collapsed="false">
      <c r="C88" s="141"/>
    </row>
    <row r="89" customFormat="false" ht="15" hidden="false" customHeight="false" outlineLevel="0" collapsed="false">
      <c r="C89" s="141"/>
    </row>
    <row r="90" customFormat="false" ht="15" hidden="false" customHeight="false" outlineLevel="0" collapsed="false">
      <c r="C90" s="141"/>
    </row>
    <row r="91" customFormat="false" ht="15" hidden="false" customHeight="false" outlineLevel="0" collapsed="false">
      <c r="C91" s="141"/>
    </row>
    <row r="92" customFormat="false" ht="15" hidden="false" customHeight="false" outlineLevel="0" collapsed="false">
      <c r="C92" s="141"/>
    </row>
    <row r="93" customFormat="false" ht="15" hidden="false" customHeight="false" outlineLevel="0" collapsed="false">
      <c r="C93" s="141"/>
    </row>
    <row r="94" customFormat="false" ht="15" hidden="false" customHeight="false" outlineLevel="0" collapsed="false">
      <c r="C94" s="141"/>
    </row>
    <row r="95" customFormat="false" ht="15" hidden="false" customHeight="false" outlineLevel="0" collapsed="false">
      <c r="C95" s="141"/>
    </row>
    <row r="96" customFormat="false" ht="15" hidden="false" customHeight="false" outlineLevel="0" collapsed="false">
      <c r="C96" s="141"/>
    </row>
    <row r="97" customFormat="false" ht="15" hidden="false" customHeight="false" outlineLevel="0" collapsed="false">
      <c r="C97" s="141"/>
    </row>
    <row r="98" customFormat="false" ht="15" hidden="false" customHeight="false" outlineLevel="0" collapsed="false">
      <c r="C98" s="141"/>
    </row>
    <row r="99" customFormat="false" ht="15" hidden="false" customHeight="false" outlineLevel="0" collapsed="false">
      <c r="C99" s="141"/>
    </row>
    <row r="100" customFormat="false" ht="15" hidden="false" customHeight="false" outlineLevel="0" collapsed="false">
      <c r="C100" s="141"/>
    </row>
    <row r="101" customFormat="false" ht="15" hidden="false" customHeight="false" outlineLevel="0" collapsed="false">
      <c r="C101" s="141"/>
    </row>
    <row r="102" customFormat="false" ht="15" hidden="false" customHeight="false" outlineLevel="0" collapsed="false">
      <c r="C102" s="141"/>
    </row>
    <row r="103" customFormat="false" ht="15" hidden="false" customHeight="false" outlineLevel="0" collapsed="false">
      <c r="C103" s="141"/>
    </row>
    <row r="104" customFormat="false" ht="15" hidden="false" customHeight="false" outlineLevel="0" collapsed="false">
      <c r="C104" s="141"/>
    </row>
    <row r="105" customFormat="false" ht="15" hidden="false" customHeight="false" outlineLevel="0" collapsed="false">
      <c r="C105" s="141"/>
    </row>
    <row r="106" customFormat="false" ht="15" hidden="false" customHeight="false" outlineLevel="0" collapsed="false">
      <c r="C106" s="141"/>
    </row>
    <row r="107" customFormat="false" ht="15" hidden="false" customHeight="false" outlineLevel="0" collapsed="false">
      <c r="C107" s="141"/>
    </row>
    <row r="108" customFormat="false" ht="15" hidden="false" customHeight="false" outlineLevel="0" collapsed="false">
      <c r="C108" s="141"/>
    </row>
  </sheetData>
  <hyperlinks>
    <hyperlink ref="B1" r:id="rId1" display="EMIGRAZIONE"/>
    <hyperlink ref="C1" r:id="rId2" display="immigrazione 2015"/>
    <hyperlink ref="D1" r:id="rId3" display="pensioni 2015"/>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83"/>
  <sheetViews>
    <sheetView showFormulas="false" showGridLines="true" showRowColHeaders="true" showZeros="true" rightToLeft="false" tabSelected="false" showOutlineSymbols="true" defaultGridColor="true" view="normal" topLeftCell="J1" colorId="64" zoomScale="55" zoomScaleNormal="55" zoomScalePageLayoutView="100" workbookViewId="0">
      <selection pane="topLeft" activeCell="AA16" activeCellId="0" sqref="1:1048576"/>
    </sheetView>
  </sheetViews>
  <sheetFormatPr defaultColWidth="8.59765625" defaultRowHeight="15" customHeight="false" zeroHeight="false" outlineLevelRow="0" outlineLevelCol="0"/>
  <cols>
    <col collapsed="false" customWidth="true" hidden="false" outlineLevel="0" max="1" min="1" style="0" width="36"/>
    <col collapsed="false" customWidth="true" hidden="false" outlineLevel="0" max="2" min="2" style="0" width="19.43"/>
    <col collapsed="false" customWidth="true" hidden="false" outlineLevel="0" max="3" min="3" style="0" width="20"/>
    <col collapsed="false" customWidth="true" hidden="false" outlineLevel="0" max="4" min="4" style="0" width="14"/>
    <col collapsed="false" customWidth="true" hidden="false" outlineLevel="0" max="5" min="5" style="0" width="17.14"/>
    <col collapsed="false" customWidth="true" hidden="false" outlineLevel="0" max="6" min="6" style="0" width="18.57"/>
    <col collapsed="false" customWidth="true" hidden="false" outlineLevel="0" max="7" min="7" style="0" width="15.28"/>
    <col collapsed="false" customWidth="true" hidden="false" outlineLevel="0" max="9" min="8" style="0" width="18.57"/>
    <col collapsed="false" customWidth="true" hidden="false" outlineLevel="0" max="10" min="10" style="0" width="17.71"/>
    <col collapsed="false" customWidth="true" hidden="false" outlineLevel="0" max="11" min="11" style="0" width="22"/>
    <col collapsed="false" customWidth="true" hidden="false" outlineLevel="0" max="12" min="12" style="0" width="18.57"/>
    <col collapsed="false" customWidth="true" hidden="false" outlineLevel="0" max="13" min="13" style="0" width="16.29"/>
    <col collapsed="false" customWidth="true" hidden="false" outlineLevel="0" max="14" min="14" style="0" width="17.71"/>
    <col collapsed="false" customWidth="true" hidden="false" outlineLevel="0" max="15" min="15" style="0" width="14.86"/>
    <col collapsed="false" customWidth="true" hidden="false" outlineLevel="0" max="16" min="16" style="0" width="13.86"/>
    <col collapsed="false" customWidth="true" hidden="false" outlineLevel="0" max="18" min="17" style="0" width="12.72"/>
    <col collapsed="false" customWidth="true" hidden="false" outlineLevel="0" max="19" min="19" style="0" width="14.14"/>
    <col collapsed="false" customWidth="true" hidden="false" outlineLevel="0" max="20" min="20" style="0" width="17"/>
    <col collapsed="false" customWidth="true" hidden="false" outlineLevel="0" max="21" min="21" style="0" width="38.29"/>
    <col collapsed="false" customWidth="true" hidden="false" outlineLevel="0" max="22" min="22" style="0" width="32.72"/>
  </cols>
  <sheetData>
    <row r="1" customFormat="false" ht="15" hidden="false" customHeight="false" outlineLevel="0" collapsed="false">
      <c r="B1" s="142" t="s">
        <v>224</v>
      </c>
      <c r="C1" s="142" t="s">
        <v>225</v>
      </c>
      <c r="D1" s="142" t="s">
        <v>226</v>
      </c>
      <c r="E1" s="143" t="s">
        <v>227</v>
      </c>
      <c r="F1" s="143" t="s">
        <v>228</v>
      </c>
      <c r="G1" s="143" t="s">
        <v>229</v>
      </c>
      <c r="H1" s="144" t="s">
        <v>230</v>
      </c>
      <c r="I1" s="144" t="s">
        <v>231</v>
      </c>
      <c r="J1" s="144" t="s">
        <v>232</v>
      </c>
      <c r="K1" s="144" t="s">
        <v>233</v>
      </c>
      <c r="L1" s="144" t="s">
        <v>234</v>
      </c>
      <c r="M1" s="144" t="s">
        <v>235</v>
      </c>
      <c r="N1" s="145" t="s">
        <v>236</v>
      </c>
      <c r="O1" s="145" t="s">
        <v>237</v>
      </c>
      <c r="P1" s="145" t="s">
        <v>238</v>
      </c>
      <c r="Q1" s="145" t="s">
        <v>239</v>
      </c>
      <c r="R1" s="145" t="s">
        <v>240</v>
      </c>
      <c r="S1" s="145" t="s">
        <v>241</v>
      </c>
      <c r="U1" s="146" t="s">
        <v>242</v>
      </c>
      <c r="V1" s="146" t="s">
        <v>243</v>
      </c>
    </row>
    <row r="2" customFormat="false" ht="15" hidden="false" customHeight="false" outlineLevel="0" collapsed="false">
      <c r="A2" s="147" t="s">
        <v>116</v>
      </c>
      <c r="B2" s="79" t="n">
        <v>56689</v>
      </c>
      <c r="C2" s="79" t="n">
        <v>64428</v>
      </c>
      <c r="D2" s="79" t="n">
        <v>66144</v>
      </c>
      <c r="E2" s="79" t="n">
        <v>67212</v>
      </c>
      <c r="F2" s="79" t="n">
        <v>68280</v>
      </c>
      <c r="G2" s="79" t="n">
        <v>62581</v>
      </c>
      <c r="H2" s="136" t="n">
        <v>166323</v>
      </c>
      <c r="I2" s="136" t="n">
        <v>129509</v>
      </c>
      <c r="J2" s="136" t="n">
        <v>111801</v>
      </c>
      <c r="K2" s="136" t="n">
        <v>105633</v>
      </c>
      <c r="L2" s="136" t="n">
        <v>109167</v>
      </c>
      <c r="M2" s="136" t="n">
        <v>103565</v>
      </c>
      <c r="N2" s="79" t="n">
        <v>2413205</v>
      </c>
      <c r="O2" s="79" t="n">
        <v>2428416</v>
      </c>
      <c r="P2" s="79" t="n">
        <v>2440650</v>
      </c>
      <c r="Q2" s="79" t="n">
        <v>2459133</v>
      </c>
      <c r="R2" s="79" t="n">
        <v>2488950</v>
      </c>
      <c r="S2" s="79" t="n">
        <v>2521964</v>
      </c>
      <c r="U2" s="148" t="n">
        <f aca="false">((M2/H2)^(1/35)-1)</f>
        <v>-0.0134440179982888</v>
      </c>
      <c r="V2" s="148" t="n">
        <f aca="false">((S2/N2)^(1/35)-1)</f>
        <v>0.0012602855942867</v>
      </c>
    </row>
    <row r="3" customFormat="false" ht="15" hidden="false" customHeight="false" outlineLevel="0" collapsed="false">
      <c r="A3" s="149" t="s">
        <v>117</v>
      </c>
      <c r="B3" s="79" t="n">
        <v>89794</v>
      </c>
      <c r="C3" s="79" t="n">
        <v>92471</v>
      </c>
      <c r="D3" s="79" t="n">
        <v>89690</v>
      </c>
      <c r="E3" s="79" t="n">
        <v>88935</v>
      </c>
      <c r="F3" s="79" t="n">
        <v>102936</v>
      </c>
      <c r="G3" s="79" t="n">
        <v>76562</v>
      </c>
      <c r="H3" s="136" t="n">
        <v>146626</v>
      </c>
      <c r="I3" s="136" t="n">
        <v>123702</v>
      </c>
      <c r="J3" s="136" t="n">
        <v>126703</v>
      </c>
      <c r="K3" s="136" t="n">
        <v>137860</v>
      </c>
      <c r="L3" s="136" t="n">
        <v>150006</v>
      </c>
      <c r="M3" s="136" t="n">
        <v>118683</v>
      </c>
      <c r="N3" s="79" t="n">
        <v>2786902</v>
      </c>
      <c r="O3" s="79" t="n">
        <v>2842277</v>
      </c>
      <c r="P3" s="79" t="n">
        <v>2927701</v>
      </c>
      <c r="Q3" s="79" t="n">
        <v>2973647</v>
      </c>
      <c r="R3" s="79" t="n">
        <v>3027892</v>
      </c>
      <c r="S3" s="79" t="n">
        <v>3070090</v>
      </c>
      <c r="U3" s="148" t="n">
        <f aca="false">((M3/H3)^(1/35)-1)</f>
        <v>-0.00602262098197348</v>
      </c>
      <c r="V3" s="148" t="n">
        <f aca="false">((S3/N3)^(1/35)-1)</f>
        <v>0.00276886316912495</v>
      </c>
    </row>
    <row r="4" customFormat="false" ht="15" hidden="false" customHeight="false" outlineLevel="0" collapsed="false">
      <c r="A4" s="149" t="s">
        <v>118</v>
      </c>
      <c r="B4" s="79" t="n">
        <v>29470</v>
      </c>
      <c r="C4" s="79" t="n">
        <v>30570</v>
      </c>
      <c r="D4" s="79" t="n">
        <v>31586</v>
      </c>
      <c r="E4" s="79" t="n">
        <v>33225</v>
      </c>
      <c r="F4" s="79" t="n">
        <v>39941</v>
      </c>
      <c r="G4" s="79" t="n">
        <v>6649</v>
      </c>
      <c r="H4" s="136" t="n">
        <v>25223</v>
      </c>
      <c r="I4" s="136" t="n">
        <v>21241</v>
      </c>
      <c r="J4" s="136" t="n">
        <v>25597</v>
      </c>
      <c r="K4" s="136" t="n">
        <v>29559</v>
      </c>
      <c r="L4" s="136" t="n">
        <v>37929</v>
      </c>
      <c r="M4" s="136" t="n">
        <v>37364</v>
      </c>
      <c r="N4" s="79" t="n">
        <v>2179937</v>
      </c>
      <c r="O4" s="79" t="n">
        <v>2183465</v>
      </c>
      <c r="P4" s="79" t="n">
        <v>2171457</v>
      </c>
      <c r="Q4" s="79" t="n">
        <v>2160248</v>
      </c>
      <c r="R4" s="79" t="n">
        <v>2137991</v>
      </c>
      <c r="S4" s="79" t="n">
        <v>2114915</v>
      </c>
      <c r="U4" s="148" t="n">
        <f aca="false">((M4/H4)^(1/35)-1)</f>
        <v>0.0112904441248638</v>
      </c>
      <c r="V4" s="148" t="n">
        <f aca="false">((S4/N4)^(1/35)-1)</f>
        <v>-0.00086480740221595</v>
      </c>
    </row>
    <row r="5" customFormat="false" ht="15" hidden="false" customHeight="false" outlineLevel="0" collapsed="false">
      <c r="A5" s="149" t="s">
        <v>119</v>
      </c>
      <c r="B5" s="79" t="n">
        <v>29651</v>
      </c>
      <c r="C5" s="79" t="n">
        <v>36436</v>
      </c>
      <c r="D5" s="79" t="n">
        <v>47352</v>
      </c>
      <c r="E5" s="79" t="n">
        <v>39515</v>
      </c>
      <c r="F5" s="79" t="n">
        <v>40148</v>
      </c>
      <c r="G5" s="79" t="n">
        <v>34046</v>
      </c>
      <c r="H5" s="136" t="n">
        <v>11706</v>
      </c>
      <c r="I5" s="136" t="n">
        <v>13985</v>
      </c>
      <c r="J5" s="136" t="n">
        <v>15553</v>
      </c>
      <c r="K5" s="136" t="n">
        <v>26029</v>
      </c>
      <c r="L5" s="136" t="n">
        <v>37726</v>
      </c>
      <c r="M5" s="136" t="n">
        <v>33414</v>
      </c>
      <c r="N5" s="79" t="n">
        <v>1228020</v>
      </c>
      <c r="O5" s="79" t="n">
        <v>1233375</v>
      </c>
      <c r="P5" s="79" t="n">
        <v>1232651</v>
      </c>
      <c r="Q5" s="79" t="n">
        <v>1236258</v>
      </c>
      <c r="R5" s="79" t="n">
        <v>1241111</v>
      </c>
      <c r="S5" s="79" t="n">
        <v>1241085</v>
      </c>
      <c r="U5" s="148" t="n">
        <f aca="false">((M5/H5)^(1/35)-1)</f>
        <v>0.0304213668929318</v>
      </c>
      <c r="V5" s="148" t="n">
        <f aca="false">((S5/N5)^(1/35)-1)</f>
        <v>0.000302413740399077</v>
      </c>
    </row>
    <row r="6" customFormat="false" ht="15" hidden="false" customHeight="false" outlineLevel="0" collapsed="false">
      <c r="A6" s="149" t="s">
        <v>120</v>
      </c>
      <c r="B6" s="79" t="n">
        <v>17183</v>
      </c>
      <c r="C6" s="79" t="n">
        <v>14892</v>
      </c>
      <c r="D6" s="79" t="n">
        <v>15105</v>
      </c>
      <c r="E6" s="79" t="n">
        <v>15340</v>
      </c>
      <c r="F6" s="79" t="n">
        <v>17373</v>
      </c>
      <c r="G6" s="79" t="n">
        <v>21368</v>
      </c>
      <c r="H6" s="136" t="n">
        <v>15183</v>
      </c>
      <c r="I6" s="136" t="n">
        <v>17391</v>
      </c>
      <c r="J6" s="136" t="n">
        <v>21306</v>
      </c>
      <c r="K6" s="136" t="n">
        <v>23442</v>
      </c>
      <c r="L6" s="136" t="n">
        <v>26170</v>
      </c>
      <c r="M6" s="136" t="n">
        <v>25861</v>
      </c>
      <c r="N6" s="79" t="n">
        <v>157454</v>
      </c>
      <c r="O6" s="79" t="n">
        <v>159548</v>
      </c>
      <c r="P6" s="79" t="n">
        <v>161008</v>
      </c>
      <c r="Q6" s="79" t="n">
        <v>163388</v>
      </c>
      <c r="R6" s="79" t="n">
        <v>166950</v>
      </c>
      <c r="S6" s="79" t="n">
        <v>169916</v>
      </c>
      <c r="U6" s="148" t="n">
        <f aca="false">((M6/H6)^(1/35)-1)</f>
        <v>0.0153323428989554</v>
      </c>
      <c r="V6" s="148" t="n">
        <f aca="false">((S6/N6)^(1/35)-1)</f>
        <v>0.00217867974325392</v>
      </c>
    </row>
    <row r="7" customFormat="false" ht="15" hidden="false" customHeight="false" outlineLevel="0" collapsed="false">
      <c r="A7" s="149" t="s">
        <v>121</v>
      </c>
      <c r="B7" s="79" t="n">
        <v>25684</v>
      </c>
      <c r="C7" s="79" t="n">
        <v>38864</v>
      </c>
      <c r="D7" s="79" t="n">
        <v>27316</v>
      </c>
      <c r="E7" s="79" t="n">
        <v>26742</v>
      </c>
      <c r="F7" s="79" t="n">
        <v>77798</v>
      </c>
      <c r="G7" s="79" t="n">
        <v>35854</v>
      </c>
      <c r="H7" s="136" t="n">
        <v>29602</v>
      </c>
      <c r="I7" s="136" t="n">
        <v>64083</v>
      </c>
      <c r="J7" s="136" t="n">
        <v>51847</v>
      </c>
      <c r="K7" s="136" t="n">
        <v>65910</v>
      </c>
      <c r="L7" s="136" t="n">
        <v>105888</v>
      </c>
      <c r="M7" s="136" t="n">
        <v>63095</v>
      </c>
      <c r="N7" s="79" t="n">
        <v>2931615</v>
      </c>
      <c r="O7" s="79" t="n">
        <v>2950043</v>
      </c>
      <c r="P7" s="79" t="n">
        <v>2953294</v>
      </c>
      <c r="Q7" s="79" t="n">
        <v>2953701</v>
      </c>
      <c r="R7" s="79" t="n">
        <v>2995288</v>
      </c>
      <c r="S7" s="79" t="n">
        <v>2979561</v>
      </c>
      <c r="U7" s="148" t="n">
        <f aca="false">((M7/H7)^(1/35)-1)</f>
        <v>0.0218583135559585</v>
      </c>
      <c r="V7" s="148" t="n">
        <f aca="false">((S7/N7)^(1/35)-1)</f>
        <v>0.000463607676057576</v>
      </c>
    </row>
    <row r="8" customFormat="false" ht="15" hidden="false" customHeight="false" outlineLevel="0" collapsed="false">
      <c r="A8" s="149" t="s">
        <v>122</v>
      </c>
      <c r="B8" s="79" t="n">
        <v>44625</v>
      </c>
      <c r="C8" s="79" t="n">
        <v>52654</v>
      </c>
      <c r="D8" s="79" t="n">
        <v>56403</v>
      </c>
      <c r="E8" s="79" t="n">
        <v>60381</v>
      </c>
      <c r="F8" s="79" t="n">
        <v>66520</v>
      </c>
      <c r="G8" s="79" t="n">
        <v>53822</v>
      </c>
      <c r="H8" s="136" t="n">
        <v>78492</v>
      </c>
      <c r="I8" s="136" t="n">
        <v>74383</v>
      </c>
      <c r="J8" s="136" t="n">
        <v>68579</v>
      </c>
      <c r="K8" s="136" t="n">
        <v>64669</v>
      </c>
      <c r="L8" s="136" t="n">
        <v>61384</v>
      </c>
      <c r="M8" s="136" t="n">
        <v>57230</v>
      </c>
      <c r="N8" s="79" t="n">
        <v>1539560</v>
      </c>
      <c r="O8" s="79" t="n">
        <v>1539000</v>
      </c>
      <c r="P8" s="79" t="n">
        <v>1540517</v>
      </c>
      <c r="Q8" s="79" t="n">
        <v>1541553</v>
      </c>
      <c r="R8" s="79" t="n">
        <v>1525544</v>
      </c>
      <c r="S8" s="79" t="n">
        <v>1529971</v>
      </c>
      <c r="U8" s="148" t="n">
        <f aca="false">((M8/H8)^(1/35)-1)</f>
        <v>-0.00898562783393087</v>
      </c>
      <c r="V8" s="148" t="n">
        <f aca="false">((S8/N8)^(1/35)-1)</f>
        <v>-0.000178494934722551</v>
      </c>
    </row>
    <row r="9" customFormat="false" ht="15" hidden="false" customHeight="false" outlineLevel="0" collapsed="false">
      <c r="A9" s="149" t="s">
        <v>123</v>
      </c>
      <c r="B9" s="79" t="n">
        <v>13003</v>
      </c>
      <c r="C9" s="79" t="n">
        <v>13792</v>
      </c>
      <c r="D9" s="79" t="n">
        <v>12358</v>
      </c>
      <c r="E9" s="79" t="n">
        <v>10476</v>
      </c>
      <c r="F9" s="79" t="n">
        <v>12801</v>
      </c>
      <c r="G9" s="79" t="n">
        <v>12427</v>
      </c>
      <c r="H9" s="136" t="n">
        <v>15413</v>
      </c>
      <c r="I9" s="136" t="n">
        <v>14822</v>
      </c>
      <c r="J9" s="136" t="n">
        <v>17616</v>
      </c>
      <c r="K9" s="136" t="n">
        <v>17547</v>
      </c>
      <c r="L9" s="136" t="n">
        <v>18259</v>
      </c>
      <c r="M9" s="136" t="n">
        <v>16209</v>
      </c>
      <c r="N9" s="79" t="n">
        <v>416841</v>
      </c>
      <c r="O9" s="79" t="n">
        <v>422034</v>
      </c>
      <c r="P9" s="79" t="n">
        <v>417562</v>
      </c>
      <c r="Q9" s="79" t="n">
        <v>420195</v>
      </c>
      <c r="R9" s="79" t="n">
        <v>425240</v>
      </c>
      <c r="S9" s="79" t="n">
        <v>426840</v>
      </c>
      <c r="U9" s="148" t="n">
        <f aca="false">((M9/H9)^(1/35)-1)</f>
        <v>0.00143975929867612</v>
      </c>
      <c r="V9" s="148" t="n">
        <f aca="false">((S9/N9)^(1/35)-1)</f>
        <v>0.000677497444216968</v>
      </c>
    </row>
    <row r="10" customFormat="false" ht="15" hidden="false" customHeight="false" outlineLevel="0" collapsed="false">
      <c r="A10" s="149" t="s">
        <v>124</v>
      </c>
      <c r="B10" s="79" t="n">
        <v>16305</v>
      </c>
      <c r="C10" s="79" t="n">
        <v>18082</v>
      </c>
      <c r="D10" s="79" t="n">
        <v>16973</v>
      </c>
      <c r="E10" s="79" t="n">
        <v>19141</v>
      </c>
      <c r="F10" s="79" t="n">
        <v>17263</v>
      </c>
      <c r="G10" s="79" t="n">
        <v>15084</v>
      </c>
      <c r="H10" s="136" t="n">
        <v>28746</v>
      </c>
      <c r="I10" s="136" t="n">
        <v>34905</v>
      </c>
      <c r="J10" s="136" t="n">
        <v>31797</v>
      </c>
      <c r="K10" s="136" t="n">
        <v>31106</v>
      </c>
      <c r="L10" s="136" t="n">
        <v>32758</v>
      </c>
      <c r="M10" s="136" t="n">
        <v>32898</v>
      </c>
      <c r="N10" s="79" t="n">
        <v>1540972</v>
      </c>
      <c r="O10" s="79" t="n">
        <v>1558900</v>
      </c>
      <c r="P10" s="79" t="n">
        <v>1585582</v>
      </c>
      <c r="Q10" s="79" t="n">
        <v>1600225</v>
      </c>
      <c r="R10" s="79" t="n">
        <v>1612473</v>
      </c>
      <c r="S10" s="79" t="n">
        <v>1617561</v>
      </c>
      <c r="U10" s="148" t="n">
        <f aca="false">((M10/H10)^(1/35)-1)</f>
        <v>0.00386210272977205</v>
      </c>
      <c r="V10" s="148" t="n">
        <f aca="false">((S10/N10)^(1/35)-1)</f>
        <v>0.00138684858765803</v>
      </c>
    </row>
    <row r="11" customFormat="false" ht="15" hidden="false" customHeight="false" outlineLevel="0" collapsed="false">
      <c r="A11" s="149" t="s">
        <v>13</v>
      </c>
      <c r="B11" s="79" t="n">
        <v>324517</v>
      </c>
      <c r="C11" s="79" t="n">
        <v>313622</v>
      </c>
      <c r="D11" s="79" t="n">
        <v>215470</v>
      </c>
      <c r="E11" s="79" t="n">
        <v>188740</v>
      </c>
      <c r="F11" s="79" t="n">
        <v>259143</v>
      </c>
      <c r="G11" s="79" t="n">
        <v>61006</v>
      </c>
      <c r="H11" s="136" t="n">
        <v>364221</v>
      </c>
      <c r="I11" s="136" t="n">
        <v>377709</v>
      </c>
      <c r="J11" s="136" t="n">
        <v>369621</v>
      </c>
      <c r="K11" s="136" t="n">
        <v>387160</v>
      </c>
      <c r="L11" s="136" t="n">
        <v>385596</v>
      </c>
      <c r="M11" s="136" t="n">
        <v>283250</v>
      </c>
      <c r="N11" s="79" t="n">
        <v>18946000</v>
      </c>
      <c r="O11" s="79" t="n">
        <v>19138000</v>
      </c>
      <c r="P11" s="79" t="n">
        <v>19214805</v>
      </c>
      <c r="Q11" s="79" t="n">
        <v>20036318</v>
      </c>
      <c r="R11" s="79" t="n">
        <v>20428505</v>
      </c>
      <c r="S11" s="79" t="n">
        <v>20839519</v>
      </c>
      <c r="U11" s="148" t="n">
        <f aca="false">((M11/H11)^(1/35)-1)</f>
        <v>-0.00715799936393402</v>
      </c>
      <c r="V11" s="148" t="n">
        <f aca="false">((S11/N11)^(1/35)-1)</f>
        <v>0.00272537305379794</v>
      </c>
    </row>
    <row r="12" customFormat="false" ht="15" hidden="false" customHeight="false" outlineLevel="0" collapsed="false">
      <c r="A12" s="149" t="s">
        <v>11</v>
      </c>
      <c r="B12" s="79" t="n">
        <v>315882</v>
      </c>
      <c r="C12" s="79" t="n">
        <v>514560</v>
      </c>
      <c r="D12" s="79" t="n">
        <v>511185</v>
      </c>
      <c r="E12" s="79" t="n">
        <v>470500</v>
      </c>
      <c r="F12" s="79" t="n">
        <v>491500</v>
      </c>
      <c r="G12" s="79" t="n">
        <v>398905</v>
      </c>
      <c r="H12" s="136" t="n">
        <v>1549937</v>
      </c>
      <c r="I12" s="136" t="n">
        <v>1046171</v>
      </c>
      <c r="J12" s="136" t="n">
        <v>866541</v>
      </c>
      <c r="K12" s="136" t="n">
        <v>825736</v>
      </c>
      <c r="L12" s="136" t="n">
        <v>804821</v>
      </c>
      <c r="M12" s="136" t="n">
        <v>642399</v>
      </c>
      <c r="N12" s="79" t="n">
        <v>23238873</v>
      </c>
      <c r="O12" s="79" t="n">
        <v>23311138</v>
      </c>
      <c r="P12" s="79" t="n">
        <v>23315814</v>
      </c>
      <c r="Q12" s="79" t="n">
        <v>23359576</v>
      </c>
      <c r="R12" s="79" t="n">
        <v>23547349</v>
      </c>
      <c r="S12" s="79" t="n">
        <v>23615170</v>
      </c>
      <c r="U12" s="148" t="n">
        <f aca="false">((M12/H12)^(1/35)-1)</f>
        <v>-0.0248505817390133</v>
      </c>
      <c r="V12" s="148" t="n">
        <f aca="false">((S12/N12)^(1/35)-1)</f>
        <v>0.000459044337320691</v>
      </c>
    </row>
    <row r="13" customFormat="false" ht="15" hidden="false" customHeight="false" outlineLevel="0" collapsed="false">
      <c r="A13" s="149" t="s">
        <v>125</v>
      </c>
      <c r="B13" s="79" t="n">
        <v>109351</v>
      </c>
      <c r="C13" s="79" t="n">
        <v>106535</v>
      </c>
      <c r="D13" s="79" t="n">
        <v>103327</v>
      </c>
      <c r="E13" s="79" t="n">
        <v>103049</v>
      </c>
      <c r="F13" s="79" t="n">
        <v>95020</v>
      </c>
      <c r="G13" s="79" t="n">
        <v>77837</v>
      </c>
      <c r="H13" s="136" t="n">
        <v>64446</v>
      </c>
      <c r="I13" s="136" t="n">
        <v>116867</v>
      </c>
      <c r="J13" s="136" t="n">
        <v>112247</v>
      </c>
      <c r="K13" s="136" t="n">
        <v>119489</v>
      </c>
      <c r="L13" s="136" t="n">
        <v>129459</v>
      </c>
      <c r="M13" s="136" t="n">
        <v>84221</v>
      </c>
      <c r="N13" s="79" t="n">
        <v>2686578</v>
      </c>
      <c r="O13" s="79" t="n">
        <v>2590958</v>
      </c>
      <c r="P13" s="79" t="n">
        <v>2545287</v>
      </c>
      <c r="Q13" s="79" t="n">
        <v>2513781</v>
      </c>
      <c r="R13" s="79" t="n">
        <v>2475233</v>
      </c>
      <c r="S13" s="79" t="n">
        <v>2437832</v>
      </c>
      <c r="U13" s="148" t="n">
        <f aca="false">((M13/H13)^(1/35)-1)</f>
        <v>0.00767549625384145</v>
      </c>
      <c r="V13" s="148" t="n">
        <f aca="false">((S13/N13)^(1/35)-1)</f>
        <v>-0.00277212611638644</v>
      </c>
    </row>
    <row r="14" customFormat="false" ht="15" hidden="false" customHeight="false" outlineLevel="0" collapsed="false">
      <c r="A14" s="149" t="s">
        <v>126</v>
      </c>
      <c r="B14" s="79" t="n">
        <v>43225</v>
      </c>
      <c r="C14" s="79" t="n">
        <v>39889</v>
      </c>
      <c r="D14" s="79" t="n">
        <v>39829</v>
      </c>
      <c r="E14" s="79" t="n">
        <v>48178</v>
      </c>
      <c r="F14" s="79" t="n">
        <v>49795</v>
      </c>
      <c r="G14" s="79" t="n">
        <v>67364</v>
      </c>
      <c r="H14" s="136" t="n">
        <v>58344</v>
      </c>
      <c r="I14" s="136" t="n">
        <v>53618</v>
      </c>
      <c r="J14" s="136" t="n">
        <v>68070</v>
      </c>
      <c r="K14" s="136" t="n">
        <v>82937</v>
      </c>
      <c r="L14" s="136" t="n">
        <v>88581</v>
      </c>
      <c r="M14" s="136" t="n">
        <v>75470</v>
      </c>
      <c r="N14" s="79" t="n">
        <v>2169780</v>
      </c>
      <c r="O14" s="79" t="n">
        <v>2191120</v>
      </c>
      <c r="P14" s="79" t="n">
        <v>2163065</v>
      </c>
      <c r="Q14" s="79" t="n">
        <v>2156622</v>
      </c>
      <c r="R14" s="79" t="n">
        <v>2170383</v>
      </c>
      <c r="S14" s="79" t="n">
        <v>2137973</v>
      </c>
      <c r="U14" s="148" t="n">
        <f aca="false">((M14/H14)^(1/35)-1)</f>
        <v>0.00738078184327518</v>
      </c>
      <c r="V14" s="148" t="n">
        <f aca="false">((S14/N14)^(1/35)-1)</f>
        <v>-0.000421842314532128</v>
      </c>
    </row>
    <row r="15" customFormat="false" ht="15" hidden="false" customHeight="false" outlineLevel="0" collapsed="false">
      <c r="A15" s="149" t="s">
        <v>127</v>
      </c>
      <c r="B15" s="79" t="n">
        <v>4046</v>
      </c>
      <c r="C15" s="79" t="n">
        <v>4159</v>
      </c>
      <c r="D15" s="79" t="n">
        <v>3641</v>
      </c>
      <c r="E15" s="79" t="n">
        <v>4372</v>
      </c>
      <c r="F15" s="79" t="n">
        <v>4590</v>
      </c>
      <c r="G15" s="79" t="n">
        <v>6009</v>
      </c>
      <c r="H15" s="136" t="n">
        <v>5635</v>
      </c>
      <c r="I15" s="136" t="n">
        <v>8710</v>
      </c>
      <c r="J15" s="136" t="n">
        <v>12116</v>
      </c>
      <c r="K15" s="136" t="n">
        <v>11830</v>
      </c>
      <c r="L15" s="136" t="n">
        <v>9872</v>
      </c>
      <c r="M15" s="136" t="n">
        <v>8544</v>
      </c>
      <c r="N15" s="79" t="n">
        <v>66395</v>
      </c>
      <c r="O15" s="79" t="n">
        <v>68595</v>
      </c>
      <c r="P15" s="79" t="n">
        <v>70954</v>
      </c>
      <c r="Q15" s="79" t="n">
        <v>74174</v>
      </c>
      <c r="R15" s="79" t="n">
        <v>77001</v>
      </c>
      <c r="S15" s="79" t="n">
        <v>80826</v>
      </c>
      <c r="U15" s="148" t="n">
        <f aca="false">((M15/H15)^(1/35)-1)</f>
        <v>0.0119633418152403</v>
      </c>
      <c r="V15" s="148" t="n">
        <f aca="false">((S15/N15)^(1/35)-1)</f>
        <v>0.00563515935616765</v>
      </c>
      <c r="AA15" s="65"/>
    </row>
    <row r="16" customFormat="false" ht="15" hidden="false" customHeight="false" outlineLevel="0" collapsed="false">
      <c r="A16" s="149" t="s">
        <v>128</v>
      </c>
      <c r="B16" s="79" t="n">
        <v>67160</v>
      </c>
      <c r="C16" s="79" t="n">
        <v>55507</v>
      </c>
      <c r="D16" s="79" t="n">
        <v>58788</v>
      </c>
      <c r="E16" s="79" t="n">
        <v>50258</v>
      </c>
      <c r="F16" s="79" t="n">
        <v>51410</v>
      </c>
      <c r="G16" s="79" t="n">
        <v>51313</v>
      </c>
      <c r="H16" s="136" t="n">
        <v>80792</v>
      </c>
      <c r="I16" s="136" t="n">
        <v>93378</v>
      </c>
      <c r="J16" s="136" t="n">
        <v>84743</v>
      </c>
      <c r="K16" s="136" t="n">
        <v>105699</v>
      </c>
      <c r="L16" s="136" t="n">
        <v>96321</v>
      </c>
      <c r="M16" s="136" t="n">
        <v>81918</v>
      </c>
      <c r="N16" s="79" t="n">
        <v>909646</v>
      </c>
      <c r="O16" s="79" t="n">
        <v>938980</v>
      </c>
      <c r="P16" s="79" t="n">
        <v>971781</v>
      </c>
      <c r="Q16" s="79" t="n">
        <v>1003243</v>
      </c>
      <c r="R16" s="79" t="n">
        <v>1035520</v>
      </c>
      <c r="S16" s="79" t="n">
        <v>1065915</v>
      </c>
      <c r="U16" s="148" t="n">
        <f aca="false">((M16/H16)^(1/35)-1)</f>
        <v>0.000395529521364457</v>
      </c>
      <c r="V16" s="148" t="n">
        <f aca="false">((S16/N16)^(1/35)-1)</f>
        <v>0.00453979812621008</v>
      </c>
    </row>
    <row r="17" customFormat="false" ht="15" hidden="false" customHeight="false" outlineLevel="0" collapsed="false">
      <c r="A17" s="149" t="s">
        <v>14</v>
      </c>
      <c r="B17" s="79" t="n">
        <v>146955</v>
      </c>
      <c r="C17" s="79" t="n">
        <v>157065</v>
      </c>
      <c r="D17" s="79" t="n">
        <v>155110</v>
      </c>
      <c r="E17" s="79" t="n">
        <v>156960</v>
      </c>
      <c r="F17" s="79" t="n">
        <v>179505</v>
      </c>
      <c r="G17" s="79" t="n">
        <v>159884</v>
      </c>
      <c r="H17" s="136" t="n">
        <v>280078</v>
      </c>
      <c r="I17" s="136" t="n">
        <v>300823</v>
      </c>
      <c r="J17" s="136" t="n">
        <v>343440</v>
      </c>
      <c r="K17" s="136" t="n">
        <v>332324</v>
      </c>
      <c r="L17" s="136" t="n">
        <v>332778</v>
      </c>
      <c r="M17" s="136" t="n">
        <v>247526</v>
      </c>
      <c r="N17" s="79" t="n">
        <v>15864407</v>
      </c>
      <c r="O17" s="79" t="n">
        <v>15730028</v>
      </c>
      <c r="P17" s="79" t="n">
        <v>15692603</v>
      </c>
      <c r="Q17" s="79" t="n">
        <v>15633707</v>
      </c>
      <c r="R17" s="79" t="n">
        <v>15645340</v>
      </c>
      <c r="S17" s="79" t="n">
        <v>15645559</v>
      </c>
      <c r="U17" s="148" t="n">
        <f aca="false">((M17/H17)^(1/35)-1)</f>
        <v>-0.00352384830232788</v>
      </c>
      <c r="V17" s="148" t="n">
        <f aca="false">((S17/N17)^(1/35)-1)</f>
        <v>-0.000396805243765841</v>
      </c>
    </row>
    <row r="18" customFormat="false" ht="15" hidden="false" customHeight="false" outlineLevel="0" collapsed="false">
      <c r="A18" s="149" t="s">
        <v>129</v>
      </c>
      <c r="B18" s="79" t="n">
        <v>20119</v>
      </c>
      <c r="C18" s="79" t="n">
        <v>20574</v>
      </c>
      <c r="D18" s="79" t="n">
        <v>17724</v>
      </c>
      <c r="E18" s="79" t="n">
        <v>15814</v>
      </c>
      <c r="F18" s="79" t="n">
        <v>14583</v>
      </c>
      <c r="G18" s="79" t="n">
        <v>11990</v>
      </c>
      <c r="H18" s="136" t="n">
        <v>9479</v>
      </c>
      <c r="I18" s="136" t="n">
        <v>8345</v>
      </c>
      <c r="J18" s="136" t="n">
        <v>9916</v>
      </c>
      <c r="K18" s="136" t="n">
        <v>10909</v>
      </c>
      <c r="L18" s="136" t="n">
        <v>11223</v>
      </c>
      <c r="M18" s="136" t="n">
        <v>8840</v>
      </c>
      <c r="N18" s="79" t="n">
        <v>593689</v>
      </c>
      <c r="O18" s="79" t="n">
        <v>589310</v>
      </c>
      <c r="P18" s="79" t="n">
        <v>585805</v>
      </c>
      <c r="Q18" s="79" t="n">
        <v>583804</v>
      </c>
      <c r="R18" s="79" t="n">
        <v>581685</v>
      </c>
      <c r="S18" s="79" t="n">
        <v>579097</v>
      </c>
      <c r="U18" s="148" t="n">
        <f aca="false">((M18/H18)^(1/35)-1)</f>
        <v>-0.00199206887240289</v>
      </c>
      <c r="V18" s="148" t="n">
        <f aca="false">((S18/N18)^(1/35)-1)</f>
        <v>-0.000710764985758394</v>
      </c>
    </row>
    <row r="19" customFormat="false" ht="15" hidden="false" customHeight="false" outlineLevel="0" collapsed="false">
      <c r="A19" s="149" t="s">
        <v>130</v>
      </c>
      <c r="B19" s="79" t="n">
        <v>50445</v>
      </c>
      <c r="C19" s="79" t="n">
        <v>56299</v>
      </c>
      <c r="D19" s="79" t="n">
        <v>53951</v>
      </c>
      <c r="E19" s="79" t="n">
        <v>38638</v>
      </c>
      <c r="F19" s="79" t="n">
        <v>35441</v>
      </c>
      <c r="G19" s="79" t="n">
        <v>25245</v>
      </c>
      <c r="H19" s="136" t="n">
        <v>31085</v>
      </c>
      <c r="I19" s="136" t="n">
        <v>31395</v>
      </c>
      <c r="J19" s="136" t="n">
        <v>33305</v>
      </c>
      <c r="K19" s="136" t="n">
        <v>37420</v>
      </c>
      <c r="L19" s="136" t="n">
        <v>46526</v>
      </c>
      <c r="M19" s="136" t="n">
        <v>46020</v>
      </c>
      <c r="N19" s="79" t="n">
        <v>936264</v>
      </c>
      <c r="O19" s="79" t="n">
        <v>934923</v>
      </c>
      <c r="P19" s="79" t="n">
        <v>934196</v>
      </c>
      <c r="Q19" s="79" t="n">
        <v>936007</v>
      </c>
      <c r="R19" s="79" t="n">
        <v>933828</v>
      </c>
      <c r="S19" s="79" t="n">
        <v>921068</v>
      </c>
      <c r="U19" s="148" t="n">
        <f aca="false">((M19/H19)^(1/35)-1)</f>
        <v>0.0112730876273672</v>
      </c>
      <c r="V19" s="148" t="n">
        <f aca="false">((S19/N19)^(1/35)-1)</f>
        <v>-0.000467422771648907</v>
      </c>
    </row>
    <row r="20" customFormat="false" ht="15" hidden="false" customHeight="false" outlineLevel="0" collapsed="false">
      <c r="A20" s="149" t="s">
        <v>15</v>
      </c>
      <c r="B20" s="79" t="n">
        <v>12644</v>
      </c>
      <c r="C20" s="79" t="n">
        <v>13442</v>
      </c>
      <c r="D20" s="79" t="n">
        <v>13831</v>
      </c>
      <c r="E20" s="79" t="n">
        <v>13985</v>
      </c>
      <c r="F20" s="79" t="n">
        <v>15593</v>
      </c>
      <c r="G20" s="79" t="n">
        <v>14870</v>
      </c>
      <c r="H20" s="136" t="n">
        <v>23803</v>
      </c>
      <c r="I20" s="136" t="n">
        <v>22888</v>
      </c>
      <c r="J20" s="136" t="n">
        <v>24379</v>
      </c>
      <c r="K20" s="136" t="n">
        <v>24644</v>
      </c>
      <c r="L20" s="136" t="n">
        <v>26668</v>
      </c>
      <c r="M20" s="136" t="n">
        <v>22490</v>
      </c>
      <c r="N20" s="79" t="n">
        <v>179693</v>
      </c>
      <c r="O20" s="79" t="n">
        <v>185263</v>
      </c>
      <c r="P20" s="79" t="n">
        <v>189890</v>
      </c>
      <c r="Q20" s="79" t="n">
        <v>195281</v>
      </c>
      <c r="R20" s="79" t="n">
        <v>201615</v>
      </c>
      <c r="S20" s="79" t="n">
        <v>208384</v>
      </c>
      <c r="U20" s="148" t="n">
        <f aca="false">((M20/H20)^(1/35)-1)</f>
        <v>-0.00161985396612474</v>
      </c>
      <c r="V20" s="148" t="n">
        <f aca="false">((S20/N20)^(1/35)-1)</f>
        <v>0.00424133173237062</v>
      </c>
    </row>
    <row r="21" customFormat="false" ht="15" hidden="false" customHeight="false" outlineLevel="0" collapsed="false">
      <c r="A21" s="149" t="s">
        <v>131</v>
      </c>
      <c r="B21" s="79" t="n">
        <v>8255</v>
      </c>
      <c r="C21" s="79" t="n">
        <v>9510</v>
      </c>
      <c r="D21" s="79" t="n">
        <v>8036</v>
      </c>
      <c r="E21" s="79" t="n">
        <v>10019</v>
      </c>
      <c r="F21" s="79" t="n">
        <v>8079</v>
      </c>
      <c r="G21" s="79" t="n">
        <v>13804</v>
      </c>
      <c r="H21" s="136" t="n">
        <v>18202</v>
      </c>
      <c r="I21" s="136" t="n">
        <v>18116</v>
      </c>
      <c r="J21" s="136" t="n">
        <v>22750</v>
      </c>
      <c r="K21" s="136" t="n">
        <v>27394</v>
      </c>
      <c r="L21" s="136" t="n">
        <v>29304</v>
      </c>
      <c r="M21" s="136" t="n">
        <v>14751</v>
      </c>
      <c r="N21" s="79" t="n">
        <v>86031</v>
      </c>
      <c r="O21" s="79" t="n">
        <v>88377</v>
      </c>
      <c r="P21" s="79" t="n">
        <v>91127</v>
      </c>
      <c r="Q21" s="79" t="n">
        <v>91945</v>
      </c>
      <c r="R21" s="79" t="n">
        <v>93832</v>
      </c>
      <c r="S21" s="79" t="n">
        <v>97070</v>
      </c>
      <c r="U21" s="148" t="n">
        <f aca="false">((M21/H21)^(1/35)-1)</f>
        <v>-0.00598830110957171</v>
      </c>
      <c r="V21" s="148" t="n">
        <f aca="false">((S21/N21)^(1/35)-1)</f>
        <v>0.00345523192214681</v>
      </c>
    </row>
    <row r="22" customFormat="false" ht="15" hidden="false" customHeight="false" outlineLevel="0" collapsed="false">
      <c r="A22" s="149" t="s">
        <v>132</v>
      </c>
      <c r="B22" s="150" t="n">
        <f aca="false">MEDIAN(B2:B21,B23:B28,B30:B34,B36)</f>
        <v>43925</v>
      </c>
      <c r="C22" s="150" t="n">
        <f aca="false">MEDIAN(C2:C21,C23:C28,C30:C34,C36)</f>
        <v>42883.5</v>
      </c>
      <c r="D22" s="150" t="n">
        <f aca="false">MEDIAN(D2:D21,D23:D28,D30:D34,D36)</f>
        <v>46486</v>
      </c>
      <c r="E22" s="150" t="n">
        <f aca="false">MEDIAN(E2:E21,E23:E28,E30:E34,E36)</f>
        <v>43248</v>
      </c>
      <c r="F22" s="150" t="n">
        <f aca="false">MEDIAN(F2:F21,F23,F25:F28,F30:F34,F36)</f>
        <v>49795</v>
      </c>
      <c r="G22" s="79" t="n">
        <v>28</v>
      </c>
      <c r="H22" s="136" t="n">
        <v>4553</v>
      </c>
      <c r="I22" s="136" t="n">
        <v>4904</v>
      </c>
      <c r="J22" s="136" t="n">
        <v>6684</v>
      </c>
      <c r="K22" s="136" t="n">
        <v>8643</v>
      </c>
      <c r="L22" s="136" t="n">
        <v>10737</v>
      </c>
      <c r="M22" s="136" t="n">
        <v>6008</v>
      </c>
      <c r="N22" s="79" t="n">
        <v>125252</v>
      </c>
      <c r="O22" s="79" t="n">
        <v>120727</v>
      </c>
      <c r="P22" s="79" t="n">
        <v>127286</v>
      </c>
      <c r="Q22" s="79" t="n">
        <v>129033</v>
      </c>
      <c r="R22" s="79" t="n">
        <v>129062</v>
      </c>
      <c r="S22" s="79" t="n">
        <v>128292</v>
      </c>
      <c r="U22" s="148" t="n">
        <f aca="false">((M22/H22)^(1/35)-1)</f>
        <v>0.0079544860947427</v>
      </c>
      <c r="V22" s="148" t="n">
        <f aca="false">((S22/N22)^(1/35)-1)</f>
        <v>0.000685412156720133</v>
      </c>
    </row>
    <row r="23" customFormat="false" ht="15" hidden="false" customHeight="false" outlineLevel="0" collapsed="false">
      <c r="A23" s="149" t="s">
        <v>133</v>
      </c>
      <c r="B23" s="114" t="n">
        <v>112330</v>
      </c>
      <c r="C23" s="114" t="n">
        <v>111477</v>
      </c>
      <c r="D23" s="114" t="n">
        <v>108231</v>
      </c>
      <c r="E23" s="114" t="n">
        <v>109635</v>
      </c>
      <c r="F23" s="114" t="n">
        <v>107906</v>
      </c>
      <c r="G23" s="79" t="n">
        <v>102502</v>
      </c>
      <c r="H23" s="136" t="n">
        <v>166872</v>
      </c>
      <c r="I23" s="136" t="n">
        <v>189232</v>
      </c>
      <c r="J23" s="136" t="n">
        <v>189646</v>
      </c>
      <c r="K23" s="136" t="n">
        <v>194306</v>
      </c>
      <c r="L23" s="136" t="n">
        <v>215756</v>
      </c>
      <c r="M23" s="136" t="n">
        <v>182244</v>
      </c>
      <c r="N23" s="79" t="n">
        <v>4177000</v>
      </c>
      <c r="O23" s="79" t="n">
        <v>4199600</v>
      </c>
      <c r="P23" s="79" t="n">
        <v>4221600</v>
      </c>
      <c r="Q23" s="79" t="n">
        <v>4246200</v>
      </c>
      <c r="R23" s="79" t="n">
        <v>4257600</v>
      </c>
      <c r="S23" s="79" t="n">
        <v>4327900</v>
      </c>
      <c r="U23" s="148" t="n">
        <f aca="false">((M23/H23)^(1/35)-1)</f>
        <v>0.00252086911995852</v>
      </c>
      <c r="V23" s="148" t="n">
        <f aca="false">((S23/N23)^(1/35)-1)</f>
        <v>0.00101448997294762</v>
      </c>
    </row>
    <row r="24" customFormat="false" ht="15" hidden="false" customHeight="false" outlineLevel="0" collapsed="false">
      <c r="A24" s="149" t="s">
        <v>134</v>
      </c>
      <c r="B24" s="79" t="n">
        <v>1016</v>
      </c>
      <c r="C24" s="79" t="n">
        <v>630</v>
      </c>
      <c r="D24" s="79" t="n">
        <v>424</v>
      </c>
      <c r="E24" s="79" t="n">
        <v>377</v>
      </c>
      <c r="F24" s="150" t="n">
        <f aca="false">MEDIAN(F2:F23,F25:F28,F30:F34,F36)</f>
        <v>49795</v>
      </c>
      <c r="G24" s="79" t="n">
        <v>1082</v>
      </c>
      <c r="H24" s="136" t="n">
        <v>1741</v>
      </c>
      <c r="I24" s="136" t="n">
        <v>2262</v>
      </c>
      <c r="J24" s="136" t="n">
        <v>2064</v>
      </c>
      <c r="K24" s="136" t="n">
        <v>2053</v>
      </c>
      <c r="L24" s="136" t="n">
        <v>2118</v>
      </c>
      <c r="M24" s="136" t="n">
        <v>2555</v>
      </c>
      <c r="N24" s="79" t="n">
        <v>310784</v>
      </c>
      <c r="O24" s="79" t="n">
        <v>317165</v>
      </c>
      <c r="P24" s="79" t="n">
        <v>322767</v>
      </c>
      <c r="Q24" s="150" t="n">
        <f aca="false">MEDIAN(Q2:Q23,Q25:Q36)</f>
        <v>2158435</v>
      </c>
      <c r="R24" s="150" t="n">
        <f aca="false">MEDIAN(R2:R23,R25:R35)</f>
        <v>2137991</v>
      </c>
      <c r="S24" s="150" t="n">
        <f aca="false">MEDIAN(S2:S23,S25:S35)</f>
        <v>2114915</v>
      </c>
      <c r="U24" s="148" t="n">
        <f aca="false">((M24/H24)^(1/35)-1)</f>
        <v>0.0110200659935495</v>
      </c>
      <c r="V24" s="148" t="n">
        <f aca="false">((S24/N24)^(1/35)-1)</f>
        <v>0.0563194213038909</v>
      </c>
    </row>
    <row r="25" customFormat="false" ht="15" hidden="false" customHeight="false" outlineLevel="0" collapsed="false">
      <c r="A25" s="149" t="s">
        <v>135</v>
      </c>
      <c r="B25" s="79" t="n">
        <v>29173</v>
      </c>
      <c r="C25" s="79" t="n">
        <v>34694</v>
      </c>
      <c r="D25" s="79" t="n">
        <v>31963</v>
      </c>
      <c r="E25" s="79" t="n">
        <v>27158</v>
      </c>
      <c r="F25" s="79" t="n">
        <v>23207</v>
      </c>
      <c r="G25" s="79" t="n">
        <v>21447</v>
      </c>
      <c r="H25" s="136" t="n">
        <v>60816</v>
      </c>
      <c r="I25" s="136" t="n">
        <v>61460</v>
      </c>
      <c r="J25" s="136" t="n">
        <v>53351</v>
      </c>
      <c r="K25" s="136" t="n">
        <v>47864</v>
      </c>
      <c r="L25" s="136" t="n">
        <v>48680</v>
      </c>
      <c r="M25" s="136" t="n">
        <v>36287</v>
      </c>
      <c r="N25" s="79" t="n">
        <v>1333906</v>
      </c>
      <c r="O25" s="79" t="n">
        <v>1373121</v>
      </c>
      <c r="P25" s="79" t="n">
        <v>1415238</v>
      </c>
      <c r="Q25" s="79" t="n">
        <v>1461175</v>
      </c>
      <c r="R25" s="79" t="n">
        <v>1505610</v>
      </c>
      <c r="S25" s="79" t="n">
        <v>1540688</v>
      </c>
      <c r="U25" s="148" t="n">
        <f aca="false">((M25/H25)^(1/35)-1)</f>
        <v>-0.0146457876956592</v>
      </c>
      <c r="V25" s="148" t="n">
        <f aca="false">((S25/N25)^(1/35)-1)</f>
        <v>0.00412613456866029</v>
      </c>
    </row>
    <row r="26" customFormat="false" ht="15" hidden="false" customHeight="false" outlineLevel="0" collapsed="false">
      <c r="A26" s="149" t="s">
        <v>136</v>
      </c>
      <c r="B26" s="79" t="n">
        <v>258837</v>
      </c>
      <c r="C26" s="79" t="n">
        <v>236441</v>
      </c>
      <c r="D26" s="79" t="n">
        <v>218492</v>
      </c>
      <c r="E26" s="79" t="n">
        <v>189794</v>
      </c>
      <c r="F26" s="79" t="n">
        <v>180594</v>
      </c>
      <c r="G26" s="79" t="n">
        <v>161666</v>
      </c>
      <c r="H26" s="136" t="n">
        <v>218147</v>
      </c>
      <c r="I26" s="136" t="n">
        <v>208302</v>
      </c>
      <c r="J26" s="136" t="n">
        <v>209353</v>
      </c>
      <c r="K26" s="136" t="n">
        <v>214083</v>
      </c>
      <c r="L26" s="136" t="n">
        <v>226649</v>
      </c>
      <c r="M26" s="136" t="n">
        <v>210615</v>
      </c>
      <c r="N26" s="79" t="n">
        <v>9575376</v>
      </c>
      <c r="O26" s="79" t="n">
        <v>9627199</v>
      </c>
      <c r="P26" s="79" t="n">
        <v>9684063</v>
      </c>
      <c r="Q26" s="79" t="n">
        <v>10079935</v>
      </c>
      <c r="R26" s="79" t="n">
        <v>10335248</v>
      </c>
      <c r="S26" s="79" t="n">
        <v>10509939</v>
      </c>
      <c r="U26" s="148" t="n">
        <f aca="false">((M26/H26)^(1/35)-1)</f>
        <v>-0.00100341981545682</v>
      </c>
      <c r="V26" s="148" t="n">
        <f aca="false">((S26/N26)^(1/35)-1)</f>
        <v>0.00266430232326198</v>
      </c>
    </row>
    <row r="27" customFormat="false" ht="15" hidden="false" customHeight="false" outlineLevel="0" collapsed="false">
      <c r="A27" s="149" t="s">
        <v>137</v>
      </c>
      <c r="B27" s="79" t="n">
        <v>40377</v>
      </c>
      <c r="C27" s="79" t="n">
        <v>38273</v>
      </c>
      <c r="D27" s="79" t="n">
        <v>31753</v>
      </c>
      <c r="E27" s="79" t="n">
        <v>31600</v>
      </c>
      <c r="F27" s="79" t="n">
        <v>28219</v>
      </c>
      <c r="G27" s="79" t="n">
        <v>25886</v>
      </c>
      <c r="H27" s="136" t="n">
        <v>36849</v>
      </c>
      <c r="I27" s="136" t="n">
        <v>37644</v>
      </c>
      <c r="J27" s="136" t="n">
        <v>46649</v>
      </c>
      <c r="K27" s="136" t="n">
        <v>55357</v>
      </c>
      <c r="L27" s="136" t="n">
        <v>95382</v>
      </c>
      <c r="M27" s="136" t="n">
        <v>83654</v>
      </c>
      <c r="N27" s="79" t="n">
        <v>3014507</v>
      </c>
      <c r="O27" s="79" t="n">
        <v>3007164</v>
      </c>
      <c r="P27" s="79" t="n">
        <v>2981541</v>
      </c>
      <c r="Q27" s="79" t="n">
        <v>2905666</v>
      </c>
      <c r="R27" s="79" t="n">
        <v>2915182</v>
      </c>
      <c r="S27" s="79" t="n">
        <v>2920676</v>
      </c>
      <c r="U27" s="148" t="n">
        <f aca="false">((M27/H27)^(1/35)-1)</f>
        <v>0.023701103851316</v>
      </c>
      <c r="V27" s="148" t="n">
        <f aca="false">((S27/N27)^(1/35)-1)</f>
        <v>-0.000903054992148378</v>
      </c>
    </row>
    <row r="28" customFormat="false" ht="15" hidden="false" customHeight="false" outlineLevel="0" collapsed="false">
      <c r="A28" s="149" t="s">
        <v>138</v>
      </c>
      <c r="B28" s="79" t="n">
        <v>194718</v>
      </c>
      <c r="C28" s="79" t="n">
        <v>207578</v>
      </c>
      <c r="D28" s="79" t="n">
        <v>242193</v>
      </c>
      <c r="E28" s="79" t="n">
        <v>231661</v>
      </c>
      <c r="F28" s="151" t="n">
        <v>233736</v>
      </c>
      <c r="G28" s="151" t="n">
        <v>186818</v>
      </c>
      <c r="H28" s="136" t="n">
        <v>132795</v>
      </c>
      <c r="I28" s="136" t="n">
        <v>137455</v>
      </c>
      <c r="J28" s="136" t="n">
        <v>177435</v>
      </c>
      <c r="K28" s="136" t="n">
        <v>172578</v>
      </c>
      <c r="L28" s="136" t="n">
        <v>202422</v>
      </c>
      <c r="M28" s="136" t="n">
        <v>145519</v>
      </c>
      <c r="N28" s="79" t="n">
        <v>5289793</v>
      </c>
      <c r="O28" s="79" t="n">
        <v>5247379</v>
      </c>
      <c r="P28" s="79" t="n">
        <v>5230406</v>
      </c>
      <c r="Q28" s="79" t="n">
        <v>5192880</v>
      </c>
      <c r="R28" s="79" t="n">
        <v>5140756</v>
      </c>
      <c r="S28" s="79" t="n">
        <v>5122122</v>
      </c>
      <c r="U28" s="148" t="n">
        <f aca="false">((M28/H28)^(1/35)-1)</f>
        <v>0.00261770813181217</v>
      </c>
      <c r="V28" s="148" t="n">
        <f aca="false">((S28/N28)^(1/35)-1)</f>
        <v>-0.000919871183309384</v>
      </c>
    </row>
    <row r="29" customFormat="false" ht="15" hidden="false" customHeight="false" outlineLevel="0" collapsed="false">
      <c r="A29" s="152" t="s">
        <v>139</v>
      </c>
      <c r="B29" s="150" t="n">
        <f aca="false">MEDIAN(B2:B28,B30:B34,B36)</f>
        <v>43925</v>
      </c>
      <c r="C29" s="150" t="n">
        <f aca="false">MEDIAN(C2:C28,C30:C34,C36)</f>
        <v>42883.5</v>
      </c>
      <c r="D29" s="150" t="n">
        <f aca="false">MEDIAN(D2:D28,D30:D34,D36)</f>
        <v>46486</v>
      </c>
      <c r="E29" s="150" t="n">
        <f aca="false">MEDIAN(E2:E28,E30:E34,E36)</f>
        <v>43248</v>
      </c>
      <c r="F29" s="150" t="n">
        <f aca="false">MEDIAN(F2:F28,F30:F34,F36)</f>
        <v>49795</v>
      </c>
      <c r="G29" s="150" t="n">
        <f aca="false">MEDIAN(G2:G28,G30:G34,)</f>
        <v>34046</v>
      </c>
      <c r="H29" s="153" t="n">
        <f aca="false">MEDIAN(H2:H28,H30:H34,H36)</f>
        <v>58344</v>
      </c>
      <c r="I29" s="153" t="n">
        <f aca="false">MEDIAN(I2:I28,I30:I34,I36)</f>
        <v>61460</v>
      </c>
      <c r="J29" s="153" t="n">
        <f aca="false">MEDIAN(J2:J28,J30:J34,J36)</f>
        <v>53351</v>
      </c>
      <c r="K29" s="153" t="n">
        <f aca="false">MEDIAN(K2:K28,K30:K34,K36)</f>
        <v>64669</v>
      </c>
      <c r="L29" s="153" t="n">
        <f aca="false">MEDIAN(L2:L28,L30:L34,L36)</f>
        <v>88581</v>
      </c>
      <c r="M29" s="153" t="n">
        <f aca="false">MEDIAN(M2:M28,M30:M34)</f>
        <v>60162.5</v>
      </c>
      <c r="N29" s="79" t="n">
        <v>1711249</v>
      </c>
      <c r="O29" s="79" t="n">
        <v>1697111</v>
      </c>
      <c r="P29" s="79" t="n">
        <v>1692117</v>
      </c>
      <c r="Q29" s="79" t="n">
        <v>1684330</v>
      </c>
      <c r="R29" s="79" t="n">
        <v>1673455</v>
      </c>
      <c r="S29" s="79" t="n">
        <v>1656932</v>
      </c>
      <c r="U29" s="148" t="n">
        <f aca="false">((M29/H29)^(1/35)-1)</f>
        <v>0.000877319160866641</v>
      </c>
      <c r="V29" s="148" t="n">
        <f aca="false">((S29/N29)^(1/35)-1)</f>
        <v>-0.000921170138350025</v>
      </c>
    </row>
    <row r="30" customFormat="false" ht="15" hidden="false" customHeight="false" outlineLevel="0" collapsed="false">
      <c r="A30" s="149" t="s">
        <v>140</v>
      </c>
      <c r="B30" s="79" t="n">
        <v>3870</v>
      </c>
      <c r="C30" s="79" t="n">
        <v>3801</v>
      </c>
      <c r="D30" s="79" t="n">
        <v>3466</v>
      </c>
      <c r="E30" s="79" t="n">
        <v>3298</v>
      </c>
      <c r="F30" s="79" t="n">
        <v>3384</v>
      </c>
      <c r="G30" s="79" t="n">
        <v>2428</v>
      </c>
      <c r="H30" s="136" t="n">
        <v>6997</v>
      </c>
      <c r="I30" s="136" t="n">
        <v>7686</v>
      </c>
      <c r="J30" s="136" t="n">
        <v>7188</v>
      </c>
      <c r="K30" s="136" t="n">
        <v>7253</v>
      </c>
      <c r="L30" s="136" t="n">
        <v>7016</v>
      </c>
      <c r="M30" s="136" t="n">
        <v>6775</v>
      </c>
      <c r="N30" s="79" t="n">
        <v>1415171</v>
      </c>
      <c r="O30" s="79" t="n">
        <v>1436589</v>
      </c>
      <c r="P30" s="79" t="n">
        <v>1449756</v>
      </c>
      <c r="Q30" s="79" t="n">
        <v>1475667</v>
      </c>
      <c r="R30" s="79" t="n">
        <v>1450159</v>
      </c>
      <c r="S30" s="79" t="n">
        <v>1783845</v>
      </c>
      <c r="U30" s="148" t="n">
        <f aca="false">((M30/H30)^(1/35)-1)</f>
        <v>-0.000920779222352008</v>
      </c>
      <c r="V30" s="148" t="n">
        <f aca="false">((S30/N30)^(1/35)-1)</f>
        <v>0.0066368059239752</v>
      </c>
    </row>
    <row r="31" customFormat="false" ht="15" hidden="false" customHeight="false" outlineLevel="0" collapsed="false">
      <c r="A31" s="149" t="s">
        <v>141</v>
      </c>
      <c r="B31" s="79" t="n">
        <v>14913</v>
      </c>
      <c r="C31" s="79" t="n">
        <v>15572</v>
      </c>
      <c r="D31" s="79" t="n">
        <v>17555</v>
      </c>
      <c r="E31" s="79" t="n">
        <v>13527</v>
      </c>
      <c r="F31" s="79" t="n">
        <v>15106</v>
      </c>
      <c r="G31" s="79" t="n">
        <v>17745</v>
      </c>
      <c r="H31" s="136" t="n">
        <v>15420</v>
      </c>
      <c r="I31" s="136" t="n">
        <v>16623</v>
      </c>
      <c r="J31" s="136" t="n">
        <v>18808</v>
      </c>
      <c r="K31" s="136" t="n">
        <v>28455</v>
      </c>
      <c r="L31" s="136" t="n">
        <v>31319</v>
      </c>
      <c r="M31" s="136" t="n">
        <v>36110</v>
      </c>
      <c r="N31" s="79" t="n">
        <v>636857</v>
      </c>
      <c r="O31" s="79" t="n">
        <v>639962</v>
      </c>
      <c r="P31" s="79" t="n">
        <v>639918</v>
      </c>
      <c r="Q31" s="79" t="n">
        <v>644136</v>
      </c>
      <c r="R31" s="79" t="n">
        <v>648876</v>
      </c>
      <c r="S31" s="79" t="n">
        <v>664409</v>
      </c>
      <c r="U31" s="148" t="n">
        <f aca="false">((M31/H31)^(1/35)-1)</f>
        <v>0.0246094916119675</v>
      </c>
      <c r="V31" s="148" t="n">
        <f aca="false">((S31/N31)^(1/35)-1)</f>
        <v>0.00121081195960904</v>
      </c>
    </row>
    <row r="32" customFormat="false" ht="15" hidden="false" customHeight="false" outlineLevel="0" collapsed="false">
      <c r="A32" s="149" t="s">
        <v>12</v>
      </c>
      <c r="B32" s="79" t="n">
        <v>343875</v>
      </c>
      <c r="C32" s="79" t="n">
        <v>327325</v>
      </c>
      <c r="D32" s="79" t="n">
        <v>368860</v>
      </c>
      <c r="E32" s="79" t="n">
        <v>309526</v>
      </c>
      <c r="F32" s="79" t="n">
        <v>296248</v>
      </c>
      <c r="G32" s="79" t="n">
        <v>248561</v>
      </c>
      <c r="H32" s="136" t="n">
        <v>342114</v>
      </c>
      <c r="I32" s="136" t="n">
        <v>414746</v>
      </c>
      <c r="J32" s="136" t="n">
        <v>532132</v>
      </c>
      <c r="K32" s="136" t="n">
        <v>643684</v>
      </c>
      <c r="L32" s="136" t="n">
        <v>750480</v>
      </c>
      <c r="M32" s="136" t="n">
        <v>467918</v>
      </c>
      <c r="N32" s="79" t="n">
        <v>9448336</v>
      </c>
      <c r="O32" s="79" t="n">
        <v>9558626</v>
      </c>
      <c r="P32" s="79" t="n">
        <v>9664977</v>
      </c>
      <c r="Q32" s="79" t="n">
        <v>9782544</v>
      </c>
      <c r="R32" s="79" t="n">
        <v>9885991</v>
      </c>
      <c r="S32" s="79" t="n">
        <v>9898563</v>
      </c>
      <c r="U32" s="148" t="n">
        <f aca="false">((M32/H32)^(1/35)-1)</f>
        <v>0.00898726085107149</v>
      </c>
      <c r="V32" s="148" t="n">
        <f aca="false">((S32/N32)^(1/35)-1)</f>
        <v>0.00133091212836201</v>
      </c>
    </row>
    <row r="33" customFormat="false" ht="15" hidden="false" customHeight="false" outlineLevel="0" collapsed="false">
      <c r="A33" s="149" t="s">
        <v>142</v>
      </c>
      <c r="B33" s="79" t="n">
        <v>55830</v>
      </c>
      <c r="C33" s="79" t="n">
        <v>45878</v>
      </c>
      <c r="D33" s="79" t="n">
        <v>45620</v>
      </c>
      <c r="E33" s="79" t="n">
        <v>46981</v>
      </c>
      <c r="F33" s="79" t="n">
        <v>47718</v>
      </c>
      <c r="G33" s="79" t="n">
        <v>48937</v>
      </c>
      <c r="H33" s="136" t="n">
        <v>134240</v>
      </c>
      <c r="I33" s="136" t="n">
        <v>163005</v>
      </c>
      <c r="J33" s="136" t="n">
        <v>144489</v>
      </c>
      <c r="K33" s="136" t="n">
        <v>132602</v>
      </c>
      <c r="L33" s="136" t="n">
        <v>115805</v>
      </c>
      <c r="M33" s="136" t="n">
        <v>82518</v>
      </c>
      <c r="N33" s="79" t="n">
        <v>2662142</v>
      </c>
      <c r="O33" s="79" t="n">
        <v>2694383</v>
      </c>
      <c r="P33" s="79" t="n">
        <v>2705595</v>
      </c>
      <c r="Q33" s="79" t="n">
        <v>2715940</v>
      </c>
      <c r="R33" s="79" t="n">
        <v>2743014</v>
      </c>
      <c r="S33" s="79" t="n">
        <v>2754870</v>
      </c>
      <c r="U33" s="148" t="n">
        <f aca="false">((M33/H33)^(1/35)-1)</f>
        <v>-0.0138070191727756</v>
      </c>
      <c r="V33" s="148" t="n">
        <f aca="false">((S33/N33)^(1/35)-1)</f>
        <v>0.000978741302334552</v>
      </c>
    </row>
    <row r="34" customFormat="false" ht="15" hidden="false" customHeight="false" outlineLevel="0" collapsed="false">
      <c r="A34" s="149" t="s">
        <v>143</v>
      </c>
      <c r="B34" s="79" t="n">
        <v>116631</v>
      </c>
      <c r="C34" s="79" t="n">
        <v>120653</v>
      </c>
      <c r="D34" s="79" t="n">
        <v>124997</v>
      </c>
      <c r="E34" s="79" t="n">
        <v>130225</v>
      </c>
      <c r="F34" s="79" t="n">
        <v>126221</v>
      </c>
      <c r="G34" s="79" t="n">
        <v>109376</v>
      </c>
      <c r="H34" s="136" t="n">
        <v>153627</v>
      </c>
      <c r="I34" s="136" t="n">
        <v>149305</v>
      </c>
      <c r="J34" s="136" t="n">
        <v>143377</v>
      </c>
      <c r="K34" s="136" t="n">
        <v>144857</v>
      </c>
      <c r="L34" s="136" t="n">
        <v>145129</v>
      </c>
      <c r="M34" s="136" t="n">
        <v>138778</v>
      </c>
      <c r="N34" s="79" t="n">
        <v>2915374</v>
      </c>
      <c r="O34" s="79" t="n">
        <v>2959293</v>
      </c>
      <c r="P34" s="79" t="n">
        <v>3000371</v>
      </c>
      <c r="Q34" s="79" t="n">
        <v>3037758</v>
      </c>
      <c r="R34" s="79" t="n">
        <v>3072041</v>
      </c>
      <c r="S34" s="79" t="n">
        <v>3111250</v>
      </c>
      <c r="U34" s="148" t="n">
        <f aca="false">((M34/H34)^(1/35)-1)</f>
        <v>-0.00290013082771934</v>
      </c>
      <c r="V34" s="148" t="n">
        <f aca="false">((S34/N34)^(1/35)-1)</f>
        <v>0.00185962585607258</v>
      </c>
    </row>
    <row r="35" customFormat="false" ht="15" hidden="false" customHeight="false" outlineLevel="0" collapsed="false">
      <c r="A35" s="149" t="s">
        <v>144</v>
      </c>
      <c r="B35" s="150" t="n">
        <f aca="false">MEDIAN(B2:B34,B36)</f>
        <v>43925</v>
      </c>
      <c r="C35" s="150" t="n">
        <f aca="false">MEDIAN(C2:C34,C36)</f>
        <v>42883.5</v>
      </c>
      <c r="D35" s="150" t="n">
        <f aca="false">MEDIAN(D2:D34,D36)</f>
        <v>46486</v>
      </c>
      <c r="E35" s="150" t="n">
        <f aca="false">MEDIAN(E2:E34,E36)</f>
        <v>43248</v>
      </c>
      <c r="F35" s="150" t="n">
        <f aca="false">MEDIAN(F2:F34,F36)</f>
        <v>49795</v>
      </c>
      <c r="G35" s="150" t="n">
        <f aca="false">MEDIAN(G2:G34)</f>
        <v>34046</v>
      </c>
      <c r="H35" s="154" t="n">
        <f aca="false">MEDIAN(H2:H34,H36)</f>
        <v>58344</v>
      </c>
      <c r="I35" s="154" t="n">
        <f aca="false">MEDIAN(I2:I34,I36)</f>
        <v>61460</v>
      </c>
      <c r="J35" s="154" t="n">
        <f aca="false">MEDIAN(J2:J34,J36)</f>
        <v>53351</v>
      </c>
      <c r="K35" s="154" t="n">
        <f aca="false">MEDIAN(K2:K34,K36)</f>
        <v>64669</v>
      </c>
      <c r="L35" s="154" t="n">
        <f aca="false">MEDIAN(L2:L34,L36)</f>
        <v>88581</v>
      </c>
      <c r="M35" s="155" t="n">
        <f aca="false">MEDIAN(M2:M34)</f>
        <v>60162.5</v>
      </c>
      <c r="N35" s="79" t="n">
        <v>12536442</v>
      </c>
      <c r="O35" s="79" t="n">
        <v>12898245</v>
      </c>
      <c r="P35" s="79" t="n">
        <v>13260744</v>
      </c>
      <c r="Q35" s="79" t="n">
        <v>13766090</v>
      </c>
      <c r="R35" s="79" t="n">
        <v>14089093</v>
      </c>
      <c r="S35" s="79" t="n">
        <v>14287727</v>
      </c>
      <c r="U35" s="148" t="n">
        <f aca="false">((M35/H35)^(1/35)-1)</f>
        <v>0.000877319160866641</v>
      </c>
      <c r="V35" s="148" t="n">
        <f aca="false">((S35/N35)^(1/35)-1)</f>
        <v>0.00374302064542387</v>
      </c>
    </row>
    <row r="36" customFormat="false" ht="15" hidden="false" customHeight="false" outlineLevel="0" collapsed="false">
      <c r="A36" s="149" t="s">
        <v>145</v>
      </c>
      <c r="B36" s="114" t="n">
        <v>299183</v>
      </c>
      <c r="C36" s="114" t="n">
        <v>340440</v>
      </c>
      <c r="D36" s="114" t="n">
        <v>359665</v>
      </c>
      <c r="E36" s="114" t="n">
        <v>344347</v>
      </c>
      <c r="F36" s="114" t="n">
        <v>368385</v>
      </c>
      <c r="G36" s="150" t="n">
        <f aca="false">MEDIAN(G2:G35)</f>
        <v>34046</v>
      </c>
      <c r="H36" s="136" t="n">
        <v>631452</v>
      </c>
      <c r="I36" s="136" t="n">
        <v>588993</v>
      </c>
      <c r="J36" s="136" t="n">
        <v>644209</v>
      </c>
      <c r="K36" s="136" t="n">
        <v>603953</v>
      </c>
      <c r="L36" s="136" t="n">
        <v>680906</v>
      </c>
      <c r="M36" s="155" t="n">
        <f aca="false">MEDIAN(M2:M35)</f>
        <v>60162.5</v>
      </c>
      <c r="N36" s="79" t="n">
        <v>15640063</v>
      </c>
      <c r="O36" s="79" t="n">
        <v>15543660</v>
      </c>
      <c r="P36" s="79" t="n">
        <v>15641610</v>
      </c>
      <c r="Q36" s="79" t="n">
        <v>15724604</v>
      </c>
      <c r="R36" s="150" t="n">
        <f aca="false">MEDIAN(R2:R35)</f>
        <v>2137991</v>
      </c>
      <c r="S36" s="150" t="n">
        <f aca="false">MEDIAN(S2:S35)</f>
        <v>2114915</v>
      </c>
      <c r="U36" s="148" t="n">
        <f aca="false">((M36/H36)^(1/35)-1)</f>
        <v>-0.0649643746325463</v>
      </c>
      <c r="V36" s="148" t="n">
        <f aca="false">((S36/N36)^(1/35)-1)</f>
        <v>-0.055563020854201</v>
      </c>
    </row>
    <row r="37" customFormat="false" ht="15" hidden="false" customHeight="false" outlineLevel="0" collapsed="false">
      <c r="M37" s="65"/>
    </row>
    <row r="39" customFormat="false" ht="15" hidden="false" customHeight="false" outlineLevel="0" collapsed="false">
      <c r="A39" s="0" t="s">
        <v>244</v>
      </c>
      <c r="B39" s="0" t="s">
        <v>245</v>
      </c>
      <c r="C39" s="0" t="s">
        <v>246</v>
      </c>
      <c r="D39" s="0" t="s">
        <v>247</v>
      </c>
    </row>
    <row r="40" customFormat="false" ht="16.4" hidden="false" customHeight="false" outlineLevel="0" collapsed="false">
      <c r="A40" s="0" t="s">
        <v>248</v>
      </c>
      <c r="B40" s="0" t="n">
        <v>25440.6976179832</v>
      </c>
      <c r="C40" s="0" t="n">
        <v>0.231824388044649</v>
      </c>
      <c r="D40" s="0" t="n">
        <v>8.16203756867267</v>
      </c>
    </row>
    <row r="41" customFormat="false" ht="15" hidden="false" customHeight="false" outlineLevel="0" collapsed="false">
      <c r="A41" s="156"/>
      <c r="B41" s="156"/>
      <c r="C41" s="156"/>
      <c r="D41" s="156"/>
      <c r="E41" s="156"/>
      <c r="F41" s="156"/>
      <c r="G41" s="156"/>
      <c r="H41" s="156"/>
      <c r="I41" s="156"/>
      <c r="J41" s="156"/>
      <c r="K41" s="156"/>
      <c r="L41" s="156"/>
      <c r="M41" s="156"/>
      <c r="N41" s="156"/>
      <c r="O41" s="156"/>
      <c r="P41" s="156"/>
      <c r="Q41" s="156"/>
      <c r="R41" s="156"/>
      <c r="S41" s="156"/>
      <c r="T41" s="156"/>
      <c r="U41" s="156"/>
      <c r="V41" s="156"/>
      <c r="W41" s="156"/>
      <c r="X41" s="156"/>
      <c r="Y41" s="156"/>
      <c r="Z41" s="156"/>
      <c r="AA41" s="156"/>
      <c r="AB41" s="156"/>
      <c r="AC41" s="156"/>
      <c r="AD41" s="156"/>
      <c r="AE41" s="156"/>
      <c r="AF41" s="156"/>
      <c r="AG41" s="156"/>
      <c r="AH41" s="156"/>
      <c r="AI41" s="156"/>
      <c r="AJ41" s="156"/>
      <c r="AK41" s="156"/>
    </row>
    <row r="42" customFormat="false" ht="15" hidden="false" customHeight="false" outlineLevel="0" collapsed="false">
      <c r="A42" s="156"/>
      <c r="B42" s="157"/>
      <c r="C42" s="157"/>
      <c r="D42" s="157"/>
      <c r="E42" s="157"/>
      <c r="F42" s="157"/>
      <c r="G42" s="157"/>
      <c r="H42" s="157"/>
      <c r="I42" s="157"/>
      <c r="J42" s="157"/>
      <c r="K42" s="157"/>
      <c r="L42" s="157"/>
      <c r="M42" s="157"/>
      <c r="N42" s="157"/>
      <c r="O42" s="157"/>
      <c r="P42" s="157"/>
      <c r="Q42" s="157"/>
      <c r="R42" s="157"/>
      <c r="S42" s="157"/>
      <c r="T42" s="157"/>
      <c r="U42" s="157"/>
      <c r="V42" s="157"/>
      <c r="W42" s="157"/>
      <c r="X42" s="157"/>
      <c r="Y42" s="157"/>
      <c r="Z42" s="157"/>
      <c r="AA42" s="157"/>
      <c r="AB42" s="157"/>
      <c r="AC42" s="157"/>
      <c r="AD42" s="157"/>
      <c r="AE42" s="157"/>
      <c r="AF42" s="157"/>
      <c r="AG42" s="157"/>
      <c r="AH42" s="157"/>
      <c r="AI42" s="157"/>
      <c r="AJ42" s="157"/>
      <c r="AK42" s="156"/>
    </row>
    <row r="43" customFormat="false" ht="15" hidden="false" customHeight="false" outlineLevel="0" collapsed="false">
      <c r="A43" s="156"/>
      <c r="B43" s="158"/>
      <c r="C43" s="158"/>
      <c r="D43" s="158"/>
      <c r="E43" s="158"/>
      <c r="F43" s="158"/>
      <c r="G43" s="158"/>
      <c r="H43" s="158"/>
      <c r="I43" s="158"/>
      <c r="J43" s="158"/>
      <c r="K43" s="158"/>
      <c r="L43" s="158"/>
      <c r="M43" s="158"/>
      <c r="N43" s="158"/>
      <c r="O43" s="158"/>
      <c r="P43" s="158"/>
      <c r="Q43" s="158"/>
      <c r="R43" s="158"/>
      <c r="S43" s="158"/>
      <c r="T43" s="158"/>
      <c r="U43" s="158"/>
      <c r="V43" s="158"/>
      <c r="W43" s="158"/>
      <c r="X43" s="158"/>
      <c r="Y43" s="158"/>
      <c r="Z43" s="158"/>
      <c r="AA43" s="158"/>
      <c r="AB43" s="158"/>
      <c r="AC43" s="158"/>
      <c r="AD43" s="158"/>
      <c r="AE43" s="158"/>
      <c r="AF43" s="158"/>
      <c r="AG43" s="158"/>
      <c r="AH43" s="158"/>
      <c r="AI43" s="158"/>
      <c r="AJ43" s="158"/>
      <c r="AK43" s="156"/>
    </row>
    <row r="44" customFormat="false" ht="15" hidden="false" customHeight="false" outlineLevel="0" collapsed="false">
      <c r="A44" s="156"/>
      <c r="B44" s="158"/>
      <c r="C44" s="158"/>
      <c r="D44" s="158"/>
      <c r="E44" s="158"/>
      <c r="F44" s="158"/>
      <c r="G44" s="158"/>
      <c r="H44" s="158"/>
      <c r="I44" s="158"/>
      <c r="J44" s="158"/>
      <c r="K44" s="158"/>
      <c r="L44" s="158"/>
      <c r="M44" s="158"/>
      <c r="N44" s="158"/>
      <c r="O44" s="158"/>
      <c r="P44" s="158"/>
      <c r="Q44" s="158"/>
      <c r="R44" s="158"/>
      <c r="S44" s="158"/>
      <c r="T44" s="158"/>
      <c r="U44" s="158"/>
      <c r="V44" s="158"/>
      <c r="W44" s="158"/>
      <c r="X44" s="158"/>
      <c r="Y44" s="158"/>
      <c r="Z44" s="158"/>
      <c r="AA44" s="158"/>
      <c r="AB44" s="158"/>
      <c r="AC44" s="158"/>
      <c r="AD44" s="158"/>
      <c r="AE44" s="158"/>
      <c r="AF44" s="158"/>
      <c r="AG44" s="158"/>
      <c r="AH44" s="158"/>
      <c r="AI44" s="158"/>
      <c r="AJ44" s="158"/>
      <c r="AK44" s="156"/>
    </row>
    <row r="45" customFormat="false" ht="15" hidden="false" customHeight="false" outlineLevel="0" collapsed="false">
      <c r="A45" s="156"/>
      <c r="B45" s="156"/>
      <c r="C45" s="156"/>
      <c r="D45" s="156"/>
      <c r="E45" s="156"/>
      <c r="F45" s="156"/>
      <c r="G45" s="156"/>
      <c r="H45" s="156"/>
      <c r="I45" s="156"/>
      <c r="J45" s="156"/>
      <c r="K45" s="156"/>
      <c r="L45" s="156"/>
      <c r="M45" s="156"/>
      <c r="N45" s="156"/>
      <c r="O45" s="156"/>
      <c r="P45" s="156"/>
      <c r="Q45" s="156"/>
      <c r="R45" s="156"/>
      <c r="S45" s="156"/>
      <c r="T45" s="156"/>
      <c r="U45" s="156"/>
      <c r="V45" s="156"/>
      <c r="W45" s="156"/>
      <c r="X45" s="156"/>
      <c r="Y45" s="156"/>
      <c r="Z45" s="156"/>
      <c r="AA45" s="156"/>
      <c r="AB45" s="156"/>
      <c r="AC45" s="156"/>
      <c r="AD45" s="156"/>
      <c r="AE45" s="156"/>
      <c r="AF45" s="156"/>
      <c r="AG45" s="156"/>
      <c r="AH45" s="156"/>
      <c r="AI45" s="156"/>
      <c r="AJ45" s="156"/>
      <c r="AK45" s="156"/>
    </row>
    <row r="48" customFormat="false" ht="15" hidden="false" customHeight="false" outlineLevel="0" collapsed="false">
      <c r="B48" s="142" t="s">
        <v>249</v>
      </c>
      <c r="C48" s="142" t="s">
        <v>250</v>
      </c>
      <c r="D48" s="142" t="s">
        <v>251</v>
      </c>
      <c r="E48" s="118" t="s">
        <v>252</v>
      </c>
      <c r="F48" s="118" t="s">
        <v>253</v>
      </c>
      <c r="G48" s="118" t="s">
        <v>254</v>
      </c>
      <c r="H48" s="159" t="s">
        <v>255</v>
      </c>
      <c r="I48" s="159" t="s">
        <v>256</v>
      </c>
      <c r="J48" s="159" t="s">
        <v>257</v>
      </c>
      <c r="K48" s="160" t="s">
        <v>258</v>
      </c>
      <c r="L48" s="160" t="s">
        <v>259</v>
      </c>
      <c r="M48" s="160" t="s">
        <v>260</v>
      </c>
    </row>
    <row r="49" customFormat="false" ht="15" hidden="false" customHeight="false" outlineLevel="0" collapsed="false">
      <c r="A49" s="147" t="s">
        <v>116</v>
      </c>
      <c r="B49" s="9" t="s">
        <v>24</v>
      </c>
      <c r="C49" s="9" t="n">
        <f aca="false">M2+(M2*U2)</f>
        <v>102172.670276007</v>
      </c>
      <c r="D49" s="9" t="n">
        <f aca="false">S2+(S2*V2)</f>
        <v>2525142.39489851</v>
      </c>
      <c r="E49" s="9" t="n">
        <f aca="false">$B$40+($C$40*F49)+($D$40*G49)</f>
        <v>20685090.3443329</v>
      </c>
      <c r="F49" s="9" t="n">
        <f aca="false">C49+(C49*U2)</f>
        <v>100799.059057883</v>
      </c>
      <c r="G49" s="9" t="n">
        <f aca="false">D49+(D49*V2)</f>
        <v>2528324.79548232</v>
      </c>
      <c r="H49" s="9" t="n">
        <f aca="false">$B$40+($C$40*I49)+($D$40*J49)</f>
        <v>20407341.6426441</v>
      </c>
      <c r="I49" s="9" t="n">
        <f aca="false">F49+(F49*U2)</f>
        <v>99443.9146936986</v>
      </c>
      <c r="J49" s="9" t="n">
        <f aca="false">G49+(G49*U2)</f>
        <v>2494333.95142634</v>
      </c>
      <c r="K49" s="9" t="n">
        <f aca="false">$B$40+($C$40*L49)+($D$40*M49)</f>
        <v>20432689.6727637</v>
      </c>
      <c r="L49" s="9" t="n">
        <f aca="false">I49+(I49*U2)</f>
        <v>98106.9889147362</v>
      </c>
      <c r="M49" s="9" t="n">
        <f aca="false">J49+(J49*V2)</f>
        <v>2497477.52457266</v>
      </c>
    </row>
    <row r="50" customFormat="false" ht="15" hidden="false" customHeight="false" outlineLevel="0" collapsed="false">
      <c r="A50" s="149" t="s">
        <v>117</v>
      </c>
      <c r="B50" s="9" t="n">
        <f aca="false">$B$40+($C$40*C50)+($D$40*D50)</f>
        <v>25180361.2257547</v>
      </c>
      <c r="C50" s="9" t="n">
        <f aca="false">M3+(M3*U3)</f>
        <v>117968.217273996</v>
      </c>
      <c r="D50" s="9" t="n">
        <f aca="false">S3+(S3*V3)</f>
        <v>3078590.6591269</v>
      </c>
      <c r="E50" s="9" t="n">
        <f aca="false">$B$40+($C$40*F50)+($D$40*G50)</f>
        <v>25249771.330012</v>
      </c>
      <c r="F50" s="9" t="n">
        <f aca="false">C50+(C50*U3)</f>
        <v>117257.739413436</v>
      </c>
      <c r="G50" s="9" t="n">
        <f aca="false">D50+(D50*V3)</f>
        <v>3087114.85541577</v>
      </c>
      <c r="H50" s="9" t="n">
        <f aca="false">$B$40+($C$40*I50)+($D$40*J50)</f>
        <v>25097854.7470891</v>
      </c>
      <c r="I50" s="9" t="n">
        <f aca="false">F50+(F50*U3)</f>
        <v>116551.540491746</v>
      </c>
      <c r="J50" s="9" t="n">
        <f aca="false">G50+(G50*U3)</f>
        <v>3068522.33271378</v>
      </c>
      <c r="K50" s="9" t="n">
        <f aca="false">$B$40+($C$40*L50)+($D$40*M50)</f>
        <v>25167039.2894976</v>
      </c>
      <c r="L50" s="9" t="n">
        <f aca="false">I50+(I50*U3)</f>
        <v>115849.594738499</v>
      </c>
      <c r="M50" s="9" t="n">
        <f aca="false">J50+(J50*V3)</f>
        <v>3077018.65118447</v>
      </c>
      <c r="N50" s="157"/>
      <c r="O50" s="157"/>
      <c r="P50" s="157"/>
      <c r="Q50" s="157"/>
      <c r="R50" s="157"/>
      <c r="S50" s="157"/>
      <c r="T50" s="157"/>
      <c r="U50" s="157"/>
      <c r="V50" s="157"/>
      <c r="W50" s="157"/>
      <c r="X50" s="157"/>
      <c r="Y50" s="157"/>
      <c r="Z50" s="157"/>
      <c r="AA50" s="157"/>
      <c r="AB50" s="157"/>
      <c r="AC50" s="157"/>
      <c r="AD50" s="157"/>
      <c r="AE50" s="157"/>
      <c r="AF50" s="157"/>
      <c r="AG50" s="157"/>
      <c r="AH50" s="157"/>
      <c r="AI50" s="157"/>
      <c r="AJ50" s="157"/>
    </row>
    <row r="51" customFormat="false" ht="15" hidden="false" customHeight="false" outlineLevel="0" collapsed="false">
      <c r="A51" s="149" t="s">
        <v>118</v>
      </c>
      <c r="B51" s="9" t="n">
        <f aca="false">$B$40+($C$40*C51)+($D$40*D51)</f>
        <v>17281287.7462059</v>
      </c>
      <c r="C51" s="9" t="n">
        <f aca="false">M4+(M4*U4)</f>
        <v>37785.8561542814</v>
      </c>
      <c r="D51" s="9" t="n">
        <f aca="false">S4+(S4*V4)</f>
        <v>2113086.00585294</v>
      </c>
      <c r="E51" s="9" t="n">
        <f aca="false">$B$40+($C$40*F51)+($D$40*G51)</f>
        <v>17266471.2380967</v>
      </c>
      <c r="F51" s="9" t="n">
        <f aca="false">C51+(C51*U4)</f>
        <v>38212.4752519015</v>
      </c>
      <c r="G51" s="9" t="n">
        <f aca="false">D51+(D51*V4)</f>
        <v>2111258.59343356</v>
      </c>
      <c r="H51" s="9" t="n">
        <f aca="false">$B$40+($C$40*I51)+($D$40*J51)</f>
        <v>17461130.130069</v>
      </c>
      <c r="I51" s="9" t="n">
        <f aca="false">F51+(F51*U4)</f>
        <v>38643.9110686058</v>
      </c>
      <c r="J51" s="9" t="n">
        <f aca="false">G51+(G51*U4)</f>
        <v>2135095.64061586</v>
      </c>
      <c r="K51" s="9" t="n">
        <f aca="false">$B$40+($C$40*L51)+($D$40*M51)</f>
        <v>17446160.510834</v>
      </c>
      <c r="L51" s="9" t="n">
        <f aca="false">I51+(I51*U4)</f>
        <v>39080.2179872921</v>
      </c>
      <c r="M51" s="9" t="n">
        <f aca="false">J51+(J51*V4)</f>
        <v>2133249.19410142</v>
      </c>
      <c r="N51" s="161"/>
      <c r="O51" s="161"/>
      <c r="P51" s="161"/>
      <c r="Q51" s="161"/>
      <c r="R51" s="161"/>
      <c r="S51" s="161"/>
      <c r="T51" s="161"/>
      <c r="U51" s="161"/>
      <c r="V51" s="161"/>
      <c r="W51" s="161"/>
      <c r="X51" s="161"/>
      <c r="Y51" s="161"/>
      <c r="Z51" s="161"/>
      <c r="AA51" s="161"/>
      <c r="AB51" s="161"/>
      <c r="AC51" s="161"/>
      <c r="AD51" s="161"/>
      <c r="AE51" s="161"/>
      <c r="AF51" s="161"/>
      <c r="AG51" s="161"/>
      <c r="AH51" s="161"/>
      <c r="AI51" s="161"/>
      <c r="AJ51" s="161"/>
    </row>
    <row r="52" customFormat="false" ht="15" hidden="false" customHeight="false" outlineLevel="0" collapsed="false">
      <c r="A52" s="149" t="s">
        <v>119</v>
      </c>
      <c r="B52" s="9" t="n">
        <f aca="false">$B$40+($C$40*C52)+($D$40*D52)</f>
        <v>10166268.3084069</v>
      </c>
      <c r="C52" s="9" t="n">
        <f aca="false">M5+(M5*U5)</f>
        <v>34430.4995533604</v>
      </c>
      <c r="D52" s="9" t="n">
        <f aca="false">S5+(S5*V5)</f>
        <v>1241460.321157</v>
      </c>
      <c r="E52" s="9" t="n">
        <f aca="false">$B$40+($C$40*F52)+($D$40*G52)</f>
        <v>10169575.4383639</v>
      </c>
      <c r="F52" s="9" t="n">
        <f aca="false">C52+(C52*U5)</f>
        <v>35477.9224125801</v>
      </c>
      <c r="G52" s="9" t="n">
        <f aca="false">D52+(D52*V5)</f>
        <v>1241835.75581628</v>
      </c>
      <c r="H52" s="9" t="n">
        <f aca="false">$B$40+($C$40*I52)+($D$40*J52)</f>
        <v>10478173.8831234</v>
      </c>
      <c r="I52" s="9" t="n">
        <f aca="false">F52+(F52*U5)</f>
        <v>36557.2093068922</v>
      </c>
      <c r="J52" s="9" t="n">
        <f aca="false">G52+(G52*U5)</f>
        <v>1279614.09696473</v>
      </c>
      <c r="K52" s="9" t="n">
        <f aca="false">$B$40+($C$40*L52)+($D$40*M52)</f>
        <v>10481590.1869542</v>
      </c>
      <c r="L52" s="9" t="n">
        <f aca="false">I52+(I52*U5)</f>
        <v>37669.3295837989</v>
      </c>
      <c r="M52" s="9" t="n">
        <f aca="false">J52+(J52*V5)</f>
        <v>1280001.06985006</v>
      </c>
      <c r="N52" s="148"/>
      <c r="O52" s="148"/>
      <c r="P52" s="148"/>
      <c r="Q52" s="148"/>
      <c r="R52" s="148"/>
      <c r="S52" s="148"/>
      <c r="T52" s="148"/>
      <c r="U52" s="148"/>
      <c r="V52" s="148"/>
      <c r="W52" s="148"/>
      <c r="X52" s="148"/>
      <c r="Y52" s="148"/>
      <c r="Z52" s="148"/>
      <c r="AA52" s="148"/>
      <c r="AB52" s="148"/>
      <c r="AC52" s="148"/>
      <c r="AD52" s="148"/>
      <c r="AE52" s="148"/>
      <c r="AF52" s="148"/>
      <c r="AG52" s="148"/>
      <c r="AH52" s="148"/>
      <c r="AI52" s="148"/>
      <c r="AJ52" s="148"/>
    </row>
    <row r="53" customFormat="false" ht="15" hidden="false" customHeight="false" outlineLevel="0" collapsed="false">
      <c r="A53" s="149" t="s">
        <v>120</v>
      </c>
      <c r="B53" s="9" t="n">
        <f aca="false">$B$40+($C$40*C53)+($D$40*D53)</f>
        <v>1421410.12973725</v>
      </c>
      <c r="C53" s="9" t="n">
        <f aca="false">M6+(M6*U6)</f>
        <v>26257.5097197099</v>
      </c>
      <c r="D53" s="9" t="n">
        <f aca="false">S6+(S6*V6)</f>
        <v>170286.192547255</v>
      </c>
      <c r="E53" s="9" t="n">
        <f aca="false">$B$40+($C$40*F53)+($D$40*G53)</f>
        <v>1424531.56813358</v>
      </c>
      <c r="F53" s="9" t="n">
        <f aca="false">C53+(C53*U6)</f>
        <v>26660.0988624051</v>
      </c>
      <c r="G53" s="9" t="n">
        <f aca="false">D53+(D53*V6)</f>
        <v>170657.191625513</v>
      </c>
      <c r="H53" s="9" t="n">
        <f aca="false">$B$40+($C$40*I53)+($D$40*J53)</f>
        <v>1445982.90910712</v>
      </c>
      <c r="I53" s="9" t="n">
        <f aca="false">F53+(F53*U6)</f>
        <v>27068.8606398836</v>
      </c>
      <c r="J53" s="9" t="n">
        <f aca="false">G53+(G53*U6)</f>
        <v>173273.766205688</v>
      </c>
      <c r="K53" s="9" t="n">
        <f aca="false">$B$40+($C$40*L53)+($D$40*M53)</f>
        <v>1449160.35780484</v>
      </c>
      <c r="L53" s="9" t="n">
        <f aca="false">I53+(I53*U6)</f>
        <v>27483.8896930983</v>
      </c>
      <c r="M53" s="9" t="n">
        <f aca="false">J53+(J53*V6)</f>
        <v>173651.274250158</v>
      </c>
    </row>
    <row r="54" customFormat="false" ht="15" hidden="false" customHeight="false" outlineLevel="0" collapsed="false">
      <c r="A54" s="149" t="s">
        <v>121</v>
      </c>
      <c r="B54" s="9" t="n">
        <f aca="false">$B$40+($C$40*C54)+($D$40*D54)</f>
        <v>24370950.8071797</v>
      </c>
      <c r="C54" s="9" t="n">
        <f aca="false">M7+(M7*U7)</f>
        <v>64474.1502938132</v>
      </c>
      <c r="D54" s="9" t="n">
        <f aca="false">S7+(S7*V7)</f>
        <v>2980942.34735088</v>
      </c>
      <c r="E54" s="9" t="n">
        <f aca="false">$B$40+($C$40*F54)+($D$40*G54)</f>
        <v>24382557.3523759</v>
      </c>
      <c r="F54" s="9" t="n">
        <f aca="false">C54+(C54*U7)</f>
        <v>65883.4464871894</v>
      </c>
      <c r="G54" s="9" t="n">
        <f aca="false">D54+(D54*V7)</f>
        <v>2982324.335105</v>
      </c>
      <c r="H54" s="9" t="n">
        <f aca="false">$B$40+($C$40*I54)+($D$40*J54)</f>
        <v>24914962.8455346</v>
      </c>
      <c r="I54" s="9" t="n">
        <f aca="false">F54+(F54*U7)</f>
        <v>67323.5475186536</v>
      </c>
      <c r="J54" s="9" t="n">
        <f aca="false">G54+(G54*U7)</f>
        <v>3047512.91554729</v>
      </c>
      <c r="K54" s="9" t="n">
        <f aca="false">$B$40+($C$40*L54)+($D$40*M54)</f>
        <v>24926835.7313696</v>
      </c>
      <c r="L54" s="9" t="n">
        <f aca="false">I54+(I54*U7)</f>
        <v>68795.1267300158</v>
      </c>
      <c r="M54" s="9" t="n">
        <f aca="false">J54+(J54*V7)</f>
        <v>3048925.76592782</v>
      </c>
    </row>
    <row r="55" customFormat="false" ht="15" hidden="false" customHeight="false" outlineLevel="0" collapsed="false">
      <c r="A55" s="149" t="s">
        <v>122</v>
      </c>
      <c r="B55" s="9" t="n">
        <f aca="false">$B$40+($C$40*C55)+($D$40*D55)</f>
        <v>12524040.5854521</v>
      </c>
      <c r="C55" s="9" t="n">
        <f aca="false">M8+(M8*U8)</f>
        <v>56715.7525190641</v>
      </c>
      <c r="D55" s="9" t="n">
        <f aca="false">S8+(S8*V8)</f>
        <v>1529697.90792623</v>
      </c>
      <c r="E55" s="9" t="n">
        <f aca="false">$B$40+($C$40*F55)+($D$40*G55)</f>
        <v>12521693.8516643</v>
      </c>
      <c r="F55" s="9" t="n">
        <f aca="false">C55+(C55*U8)</f>
        <v>56206.1258746065</v>
      </c>
      <c r="G55" s="9" t="n">
        <f aca="false">D55+(D55*V8)</f>
        <v>1529424.86459801</v>
      </c>
      <c r="H55" s="9" t="n">
        <f aca="false">$B$40+($C$40*I55)+($D$40*J55)</f>
        <v>12409407.1715034</v>
      </c>
      <c r="I55" s="9" t="n">
        <f aca="false">F55+(F55*U8)</f>
        <v>55701.0785455102</v>
      </c>
      <c r="J55" s="9" t="n">
        <f aca="false">G55+(G55*U8)</f>
        <v>1515682.02196477</v>
      </c>
      <c r="K55" s="9" t="n">
        <f aca="false">$B$40+($C$40*L55)+($D$40*M55)</f>
        <v>12407082.9708675</v>
      </c>
      <c r="L55" s="9" t="n">
        <f aca="false">I55+(I55*U8)</f>
        <v>55200.5693837517</v>
      </c>
      <c r="M55" s="9" t="n">
        <f aca="false">J55+(J55*V8)</f>
        <v>1515411.4804012</v>
      </c>
    </row>
    <row r="56" customFormat="false" ht="15" hidden="false" customHeight="false" outlineLevel="0" collapsed="false">
      <c r="A56" s="149" t="s">
        <v>123</v>
      </c>
      <c r="B56" s="9" t="n">
        <f aca="false">$B$40+($C$40*C56)+($D$40*D56)</f>
        <v>3515448.18761975</v>
      </c>
      <c r="C56" s="9" t="n">
        <f aca="false">M9+(M9*U9)</f>
        <v>16232.3370584722</v>
      </c>
      <c r="D56" s="9" t="n">
        <f aca="false">S9+(S9*V9)</f>
        <v>427129.18300909</v>
      </c>
      <c r="E56" s="9" t="n">
        <f aca="false">$B$40+($C$40*F56)+($D$40*G56)</f>
        <v>3517815.52720522</v>
      </c>
      <c r="F56" s="9" t="n">
        <f aca="false">C56+(C56*U9)</f>
        <v>16255.7077166914</v>
      </c>
      <c r="G56" s="9" t="n">
        <f aca="false">D56+(D56*V9)</f>
        <v>427418.561938929</v>
      </c>
      <c r="H56" s="9" t="n">
        <f aca="false">$B$40+($C$40*I56)+($D$40*J56)</f>
        <v>3522843.70634058</v>
      </c>
      <c r="I56" s="9" t="n">
        <f aca="false">F56+(F56*U9)</f>
        <v>16279.1120230331</v>
      </c>
      <c r="J56" s="9" t="n">
        <f aca="false">G56+(G56*U9)</f>
        <v>428033.941787907</v>
      </c>
      <c r="K56" s="9" t="n">
        <f aca="false">$B$40+($C$40*L56)+($D$40*M56)</f>
        <v>3525216.06463673</v>
      </c>
      <c r="L56" s="9" t="n">
        <f aca="false">I56+(I56*U9)</f>
        <v>16302.5500259424</v>
      </c>
      <c r="M56" s="9" t="n">
        <f aca="false">J56+(J56*V9)</f>
        <v>428323.933689506</v>
      </c>
    </row>
    <row r="57" customFormat="false" ht="15" hidden="false" customHeight="false" outlineLevel="0" collapsed="false">
      <c r="A57" s="149" t="s">
        <v>124</v>
      </c>
      <c r="B57" s="9" t="n">
        <f aca="false">$B$40+($C$40*C57)+($D$40*D57)</f>
        <v>13254000.360868</v>
      </c>
      <c r="C57" s="9" t="n">
        <f aca="false">M10+(M10*U10)</f>
        <v>33025.055455604</v>
      </c>
      <c r="D57" s="9" t="n">
        <f aca="false">S10+(S10*V10)</f>
        <v>1619804.3121883</v>
      </c>
      <c r="E57" s="9" t="n">
        <f aca="false">$B$40+($C$40*F57)+($D$40*G57)</f>
        <v>13272365.3207323</v>
      </c>
      <c r="F57" s="9" t="n">
        <f aca="false">C57+(C57*U10)</f>
        <v>33152.60161243</v>
      </c>
      <c r="G57" s="9" t="n">
        <f aca="false">D57+(D57*V10)</f>
        <v>1622050.73551094</v>
      </c>
      <c r="H57" s="9" t="n">
        <f aca="false">$B$40+($C$40*I57)+($D$40*J57)</f>
        <v>13323526.3044803</v>
      </c>
      <c r="I57" s="9" t="n">
        <f aca="false">F57+(F57*U10)</f>
        <v>33280.6403656164</v>
      </c>
      <c r="J57" s="9" t="n">
        <f aca="false">G57+(G57*U10)</f>
        <v>1628315.26208439</v>
      </c>
      <c r="K57" s="9" t="n">
        <f aca="false">$B$40+($C$40*L57)+($D$40*M57)</f>
        <v>13341987.8329621</v>
      </c>
      <c r="L57" s="9" t="n">
        <f aca="false">I57+(I57*U10)</f>
        <v>33409.173617621</v>
      </c>
      <c r="M57" s="9" t="n">
        <f aca="false">J57+(J57*V10)</f>
        <v>1630573.48880587</v>
      </c>
    </row>
    <row r="58" customFormat="false" ht="15" hidden="false" customHeight="false" outlineLevel="0" collapsed="false">
      <c r="A58" s="149" t="s">
        <v>13</v>
      </c>
      <c r="B58" s="9" t="n">
        <f aca="false">$B$40+($C$40*C58)+($D$40*D58)</f>
        <v>170647138.629</v>
      </c>
      <c r="C58" s="9" t="n">
        <f aca="false">M11+(M11*U11)</f>
        <v>281222.496680166</v>
      </c>
      <c r="D58" s="9" t="n">
        <f aca="false">S11+(S11*V11)</f>
        <v>20896314.4635367</v>
      </c>
      <c r="E58" s="9" t="n">
        <f aca="false">$B$40+($C$40*F58)+($D$40*G58)</f>
        <v>171111502.068049</v>
      </c>
      <c r="F58" s="9" t="n">
        <f aca="false">C58+(C58*U11)</f>
        <v>279209.506227805</v>
      </c>
      <c r="G58" s="9" t="n">
        <f aca="false">D58+(D58*V11)</f>
        <v>20953264.7158993</v>
      </c>
      <c r="H58" s="9" t="n">
        <f aca="false">$B$40+($C$40*I58)+($D$40*J58)</f>
        <v>169886868.149582</v>
      </c>
      <c r="I58" s="9" t="n">
        <f aca="false">F58+(F58*U11)</f>
        <v>277210.924759822</v>
      </c>
      <c r="J58" s="9" t="n">
        <f aca="false">G58+(G58*U11)</f>
        <v>20803281.2603906</v>
      </c>
      <c r="K58" s="9" t="n">
        <f aca="false">$B$40+($C$40*L58)+($D$40*M58)</f>
        <v>170349168.759293</v>
      </c>
      <c r="L58" s="9" t="n">
        <f aca="false">I58+(I58*U11)</f>
        <v>275226.649136716</v>
      </c>
      <c r="M58" s="9" t="n">
        <f aca="false">J58+(J58*V11)</f>
        <v>20859977.9625682</v>
      </c>
    </row>
    <row r="59" customFormat="false" ht="15" hidden="false" customHeight="false" outlineLevel="0" collapsed="false">
      <c r="A59" s="149" t="s">
        <v>11</v>
      </c>
      <c r="B59" s="9" t="n">
        <f aca="false">$B$40+($C$40*C59)+($D$40*D59)</f>
        <v>193007048.175514</v>
      </c>
      <c r="C59" s="9" t="n">
        <f aca="false">M12+(M12*U12)</f>
        <v>626435.01114144</v>
      </c>
      <c r="D59" s="9" t="n">
        <f aca="false">S12+(S12*V12)</f>
        <v>23626010.4100634</v>
      </c>
      <c r="E59" s="9" t="n">
        <f aca="false">$B$40+($C$40*F59)+($D$40*G59)</f>
        <v>193091959.752006</v>
      </c>
      <c r="F59" s="9" t="n">
        <f aca="false">C59+(C59*U12)</f>
        <v>610867.73669289</v>
      </c>
      <c r="G59" s="9" t="n">
        <f aca="false">D59+(D59*V12)</f>
        <v>23636855.7963556</v>
      </c>
      <c r="H59" s="9" t="n">
        <f aca="false">$B$40+($C$40*I59)+($D$40*J59)</f>
        <v>188294144.439178</v>
      </c>
      <c r="I59" s="9" t="n">
        <f aca="false">F59+(F59*U12)</f>
        <v>595687.318070477</v>
      </c>
      <c r="J59" s="9" t="n">
        <f aca="false">G59+(G59*U12)</f>
        <v>23049466.179335</v>
      </c>
      <c r="K59" s="9" t="n">
        <f aca="false">$B$40+($C$40*L59)+($D$40*M59)</f>
        <v>188377072.99256</v>
      </c>
      <c r="L59" s="9" t="n">
        <f aca="false">I59+(I59*U12)</f>
        <v>580884.141681873</v>
      </c>
      <c r="M59" s="9" t="n">
        <f aca="false">J59+(J59*V12)</f>
        <v>23060046.9062629</v>
      </c>
    </row>
    <row r="60" customFormat="false" ht="15" hidden="false" customHeight="false" outlineLevel="0" collapsed="false">
      <c r="A60" s="149" t="s">
        <v>125</v>
      </c>
      <c r="B60" s="9" t="n">
        <f aca="false">$B$40+($C$40*C60)+($D$40*D60)</f>
        <v>19887632.5412817</v>
      </c>
      <c r="C60" s="9" t="n">
        <f aca="false">M13+(M13*U13)</f>
        <v>84867.4379699948</v>
      </c>
      <c r="D60" s="9" t="n">
        <f aca="false">S13+(S13*V13)</f>
        <v>2431074.02224544</v>
      </c>
      <c r="E60" s="9" t="n">
        <f aca="false">$B$40+($C$40*F60)+($D$40*G60)</f>
        <v>19832777.5906375</v>
      </c>
      <c r="F60" s="9" t="n">
        <f aca="false">C60+(C60*U13)</f>
        <v>85518.8376722066</v>
      </c>
      <c r="G60" s="9" t="n">
        <f aca="false">D60+(D60*V13)</f>
        <v>2424334.7784575</v>
      </c>
      <c r="H60" s="9" t="n">
        <f aca="false">$B$40+($C$40*I60)+($D$40*J60)</f>
        <v>19984808.7307584</v>
      </c>
      <c r="I60" s="9" t="n">
        <f aca="false">F60+(F60*U13)</f>
        <v>86175.2371903925</v>
      </c>
      <c r="J60" s="9" t="n">
        <f aca="false">G60+(G60*U13)</f>
        <v>2442942.75096761</v>
      </c>
      <c r="K60" s="9" t="n">
        <f aca="false">$B$40+($C$40*L60)+($D$40*M60)</f>
        <v>19929687.562969</v>
      </c>
      <c r="L60" s="9" t="n">
        <f aca="false">I60+(I60*U13)</f>
        <v>86836.6749006212</v>
      </c>
      <c r="M60" s="9" t="n">
        <f aca="false">J60+(J60*V13)</f>
        <v>2436170.60556682</v>
      </c>
    </row>
    <row r="61" customFormat="false" ht="15" hidden="false" customHeight="false" outlineLevel="0" collapsed="false">
      <c r="A61" s="149" t="s">
        <v>126</v>
      </c>
      <c r="B61" s="9" t="n">
        <f aca="false">$B$40+($C$40*C61)+($D$40*D61)</f>
        <v>17485920.3240913</v>
      </c>
      <c r="C61" s="9" t="n">
        <f aca="false">M14+(M14*U14)</f>
        <v>76027.027605712</v>
      </c>
      <c r="D61" s="9" t="n">
        <f aca="false">S14+(S14*V14)</f>
        <v>2137071.11252127</v>
      </c>
      <c r="E61" s="9" t="n">
        <f aca="false">$B$40+($C$40*F61)+($D$40*G61)</f>
        <v>17478692.2755727</v>
      </c>
      <c r="F61" s="9" t="n">
        <f aca="false">C61+(C61*U14)</f>
        <v>76588.1665106624</v>
      </c>
      <c r="G61" s="9" t="n">
        <f aca="false">D61+(D61*V14)</f>
        <v>2136169.60549685</v>
      </c>
      <c r="H61" s="9" t="n">
        <f aca="false">$B$40+($C$40*I61)+($D$40*J61)</f>
        <v>17607510.9179254</v>
      </c>
      <c r="I61" s="9" t="n">
        <f aca="false">F61+(F61*U14)</f>
        <v>77153.447059454</v>
      </c>
      <c r="J61" s="9" t="n">
        <f aca="false">G61+(G61*U14)</f>
        <v>2151936.20733525</v>
      </c>
      <c r="K61" s="9" t="n">
        <f aca="false">$B$40+($C$40*L61)+($D$40*M61)</f>
        <v>17600233.6148603</v>
      </c>
      <c r="L61" s="9" t="n">
        <f aca="false">I61+(I61*U14)</f>
        <v>77722.8998206565</v>
      </c>
      <c r="M61" s="9" t="n">
        <f aca="false">J61+(J61*V14)</f>
        <v>2151028.42958483</v>
      </c>
    </row>
    <row r="62" customFormat="false" ht="15" hidden="false" customHeight="false" outlineLevel="0" collapsed="false">
      <c r="A62" s="149" t="s">
        <v>127</v>
      </c>
      <c r="B62" s="9" t="n">
        <f aca="false">$B$40+($C$40*C62)+($D$40*D62)</f>
        <v>690867.491546165</v>
      </c>
      <c r="C62" s="9" t="n">
        <f aca="false">M15+(M15*U15)</f>
        <v>8646.21479246941</v>
      </c>
      <c r="D62" s="9" t="n">
        <f aca="false">S15+(S15*V15)</f>
        <v>81281.4673901216</v>
      </c>
      <c r="E62" s="9" t="n">
        <f aca="false">$B$40+($C$40*F62)+($D$40*G62)</f>
        <v>694629.961800587</v>
      </c>
      <c r="F62" s="9" t="n">
        <f aca="false">C62+(C62*U15)</f>
        <v>8749.65241543971</v>
      </c>
      <c r="G62" s="9" t="n">
        <f aca="false">D62+(D62*V15)</f>
        <v>81739.5014115681</v>
      </c>
      <c r="H62" s="9" t="n">
        <f aca="false">$B$40+($C$40*I62)+($D$40*J62)</f>
        <v>702635.701707093</v>
      </c>
      <c r="I62" s="9" t="n">
        <f aca="false">F62+(F62*U15)</f>
        <v>8854.32749805016</v>
      </c>
      <c r="J62" s="9" t="n">
        <f aca="false">G62+(G62*U15)</f>
        <v>82717.379006762</v>
      </c>
      <c r="K62" s="9" t="n">
        <f aca="false">$B$40+($C$40*L62)+($D$40*M62)</f>
        <v>706464.793008072</v>
      </c>
      <c r="L62" s="9" t="n">
        <f aca="false">I62+(I62*U15)</f>
        <v>8960.25484445341</v>
      </c>
      <c r="M62" s="9" t="n">
        <f aca="false">J62+(J62*V15)</f>
        <v>83183.5046189896</v>
      </c>
    </row>
    <row r="63" customFormat="false" ht="15" hidden="false" customHeight="false" outlineLevel="0" collapsed="false">
      <c r="A63" s="149" t="s">
        <v>128</v>
      </c>
      <c r="B63" s="9" t="n">
        <f aca="false">$B$40+($C$40*C63)+($D$40*D63)</f>
        <v>8783973.49164746</v>
      </c>
      <c r="C63" s="9" t="n">
        <f aca="false">M16+(M16*U16)</f>
        <v>81950.4009873311</v>
      </c>
      <c r="D63" s="9" t="n">
        <f aca="false">S16+(S16*V16)</f>
        <v>1070754.0389197</v>
      </c>
      <c r="E63" s="9" t="n">
        <f aca="false">$B$40+($C$40*F63)+($D$40*G63)</f>
        <v>8823656.72917831</v>
      </c>
      <c r="F63" s="9" t="n">
        <f aca="false">C63+(C63*U16)</f>
        <v>81982.8147902093</v>
      </c>
      <c r="G63" s="9" t="n">
        <f aca="false">D63+(D63*V16)</f>
        <v>1075615.04609922</v>
      </c>
      <c r="H63" s="9" t="n">
        <f aca="false">$B$40+($C$40*I63)+($D$40*J63)</f>
        <v>8827136.68335413</v>
      </c>
      <c r="I63" s="9" t="n">
        <f aca="false">F63+(F63*U16)</f>
        <v>82015.2414137034</v>
      </c>
      <c r="J63" s="9" t="n">
        <f aca="false">G63+(G63*U16)</f>
        <v>1076040.48360357</v>
      </c>
      <c r="K63" s="9" t="n">
        <f aca="false">$B$40+($C$40*L63)+($D$40*M63)</f>
        <v>8867015.81076685</v>
      </c>
      <c r="L63" s="9" t="n">
        <f aca="false">I63+(I63*U16)</f>
        <v>82047.6808628843</v>
      </c>
      <c r="M63" s="9" t="n">
        <f aca="false">J63+(J63*V16)</f>
        <v>1080925.49017476</v>
      </c>
    </row>
    <row r="64" customFormat="false" ht="15" hidden="false" customHeight="false" outlineLevel="0" collapsed="false">
      <c r="A64" s="149" t="s">
        <v>14</v>
      </c>
      <c r="B64" s="9" t="n">
        <f aca="false">$B$40+($C$40*C64)+($D$40*D64)</f>
        <v>127731589.507615</v>
      </c>
      <c r="C64" s="9" t="n">
        <f aca="false">M17+(M17*U17)</f>
        <v>246653.755925118</v>
      </c>
      <c r="D64" s="9" t="n">
        <f aca="false">S17+(S17*V17)</f>
        <v>15639350.7601472</v>
      </c>
      <c r="E64" s="9" t="n">
        <f aca="false">$B$40+($C$40*F64)+($D$40*G64)</f>
        <v>127680736.23267</v>
      </c>
      <c r="F64" s="9" t="n">
        <f aca="false">C64+(C64*U17)</f>
        <v>245784.585506038</v>
      </c>
      <c r="G64" s="9" t="n">
        <f aca="false">D64+(D64*V17)</f>
        <v>15633144.9837564</v>
      </c>
      <c r="H64" s="9" t="n">
        <f aca="false">$B$40+($C$40*I64)+($D$40*J64)</f>
        <v>127230898.336216</v>
      </c>
      <c r="I64" s="9" t="n">
        <f aca="false">F64+(F64*U17)</f>
        <v>244918.477911665</v>
      </c>
      <c r="J64" s="9" t="n">
        <f aca="false">G64+(G64*U17)</f>
        <v>15578056.1523454</v>
      </c>
      <c r="K64" s="9" t="n">
        <f aca="false">$B$40+($C$40*L64)+($D$40*M64)</f>
        <v>127180244.9961</v>
      </c>
      <c r="L64" s="9" t="n">
        <f aca="false">I64+(I64*U17)</f>
        <v>244055.422349067</v>
      </c>
      <c r="M64" s="9" t="n">
        <f aca="false">J64+(J64*V17)</f>
        <v>15571874.6979764</v>
      </c>
    </row>
    <row r="65" customFormat="false" ht="15" hidden="false" customHeight="false" outlineLevel="0" collapsed="false">
      <c r="A65" s="149" t="s">
        <v>129</v>
      </c>
      <c r="B65" s="9" t="n">
        <f aca="false">$B$40+($C$40*C65)+($D$40*D65)</f>
        <v>4750737.90277814</v>
      </c>
      <c r="C65" s="9" t="n">
        <f aca="false">M18+(M18*U18)</f>
        <v>8822.39011116796</v>
      </c>
      <c r="D65" s="9" t="n">
        <f aca="false">S18+(S18*V18)</f>
        <v>578685.398129042</v>
      </c>
      <c r="E65" s="9" t="n">
        <f aca="false">$B$40+($C$40*F65)+($D$40*G65)</f>
        <v>4747376.7063968</v>
      </c>
      <c r="F65" s="9" t="n">
        <f aca="false">C65+(C65*U18)</f>
        <v>8804.81530244731</v>
      </c>
      <c r="G65" s="9" t="n">
        <f aca="false">D65+(D65*V18)</f>
        <v>578274.088810282</v>
      </c>
      <c r="H65" s="9" t="n">
        <f aca="false">$B$40+($C$40*I65)+($D$40*J65)</f>
        <v>4737970.28465623</v>
      </c>
      <c r="I65" s="9" t="n">
        <f aca="false">F65+(F65*U18)</f>
        <v>8787.27550395605</v>
      </c>
      <c r="J65" s="9" t="n">
        <f aca="false">G65+(G65*U18)</f>
        <v>577122.126998246</v>
      </c>
      <c r="K65" s="9" t="n">
        <f aca="false">$B$40+($C$40*L65)+($D$40*M65)</f>
        <v>4734618.17348116</v>
      </c>
      <c r="L65" s="9" t="n">
        <f aca="false">I65+(I65*U18)</f>
        <v>8769.77064595139</v>
      </c>
      <c r="M65" s="9" t="n">
        <f aca="false">J65+(J65*V18)</f>
        <v>576711.92879787</v>
      </c>
    </row>
    <row r="66" customFormat="false" ht="15" hidden="false" customHeight="false" outlineLevel="0" collapsed="false">
      <c r="A66" s="149" t="s">
        <v>130</v>
      </c>
      <c r="B66" s="9" t="n">
        <f aca="false">$B$40+($C$40*C66)+($D$40*D66)</f>
        <v>7550507.15585562</v>
      </c>
      <c r="C66" s="9" t="n">
        <f aca="false">M19+(M19*U19)</f>
        <v>46538.7874926114</v>
      </c>
      <c r="D66" s="9" t="n">
        <f aca="false">S19+(S19*V19)</f>
        <v>920637.471842563</v>
      </c>
      <c r="E66" s="9" t="n">
        <f aca="false">$B$40+($C$40*F66)+($D$40*G66)</f>
        <v>7547116.4347579</v>
      </c>
      <c r="F66" s="9" t="n">
        <f aca="false">C66+(C66*U19)</f>
        <v>47063.4233220871</v>
      </c>
      <c r="G66" s="9" t="n">
        <f aca="false">D66+(D66*V19)</f>
        <v>920207.14492379</v>
      </c>
      <c r="H66" s="9" t="n">
        <f aca="false">$B$40+($C$40*I66)+($D$40*J66)</f>
        <v>7631908.94444732</v>
      </c>
      <c r="I66" s="9" t="n">
        <f aca="false">F66+(F66*U19)</f>
        <v>47593.9734172408</v>
      </c>
      <c r="J66" s="9" t="n">
        <f aca="false">G66+(G66*U19)</f>
        <v>930580.720703846</v>
      </c>
      <c r="K66" s="9" t="n">
        <f aca="false">$B$40+($C$40*L66)+($D$40*M66)</f>
        <v>7628483.04623816</v>
      </c>
      <c r="L66" s="9" t="n">
        <f aca="false">I66+(I66*U19)</f>
        <v>48130.504450108</v>
      </c>
      <c r="M66" s="9" t="n">
        <f aca="false">J66+(J66*V19)</f>
        <v>930145.746084131</v>
      </c>
    </row>
    <row r="67" customFormat="false" ht="15" hidden="false" customHeight="false" outlineLevel="0" collapsed="false">
      <c r="A67" s="149" t="s">
        <v>15</v>
      </c>
      <c r="B67" s="9" t="n">
        <f aca="false">$B$40+($C$40*C67)+($D$40*D67)</f>
        <v>1738697.83767011</v>
      </c>
      <c r="C67" s="9" t="n">
        <f aca="false">M20+(M20*U20)</f>
        <v>22453.5694843019</v>
      </c>
      <c r="D67" s="9" t="n">
        <f aca="false">S20+(S20*V20)</f>
        <v>209267.825671718</v>
      </c>
      <c r="E67" s="9" t="n">
        <f aca="false">$B$40+($C$40*F67)+($D$40*G67)</f>
        <v>1745933.82040189</v>
      </c>
      <c r="F67" s="9" t="n">
        <f aca="false">C67+(C67*U20)</f>
        <v>22417.1979807191</v>
      </c>
      <c r="G67" s="9" t="n">
        <f aca="false">D67+(D67*V20)</f>
        <v>210155.399941304</v>
      </c>
      <c r="H67" s="9" t="n">
        <f aca="false">$B$40+($C$40*I67)+($D$40*J67)</f>
        <v>1743146.87279326</v>
      </c>
      <c r="I67" s="9" t="n">
        <f aca="false">F67+(F67*U20)</f>
        <v>22380.8853936606</v>
      </c>
      <c r="J67" s="9" t="n">
        <f aca="false">G67+(G67*U20)</f>
        <v>209814.978883207</v>
      </c>
      <c r="K67" s="9" t="n">
        <f aca="false">$B$40+($C$40*L67)+($D$40*M67)</f>
        <v>1750401.82411955</v>
      </c>
      <c r="L67" s="9" t="n">
        <f aca="false">I67+(I67*U20)</f>
        <v>22344.6316276903</v>
      </c>
      <c r="M67" s="9" t="n">
        <f aca="false">J67+(J67*V20)</f>
        <v>210704.873811071</v>
      </c>
    </row>
    <row r="68" customFormat="false" ht="15" hidden="false" customHeight="false" outlineLevel="0" collapsed="false">
      <c r="A68" s="149" t="s">
        <v>131</v>
      </c>
      <c r="B68" s="9" t="n">
        <f aca="false">$B$40+($C$40*C68)+($D$40*D68)</f>
        <v>823866.390312535</v>
      </c>
      <c r="C68" s="9" t="n">
        <f aca="false">M21+(M21*U21)</f>
        <v>14662.6665703327</v>
      </c>
      <c r="D68" s="9" t="n">
        <f aca="false">S21+(S21*V21)</f>
        <v>97405.3993626828</v>
      </c>
      <c r="E68" s="9" t="n">
        <f aca="false">$B$40+($C$40*F68)+($D$40*G68)</f>
        <v>826593.036138669</v>
      </c>
      <c r="F68" s="9" t="n">
        <f aca="false">C68+(C68*U21)</f>
        <v>14574.8621078403</v>
      </c>
      <c r="G68" s="9" t="n">
        <f aca="false">D68+(D68*V21)</f>
        <v>97741.9576079502</v>
      </c>
      <c r="H68" s="9" t="n">
        <f aca="false">$B$40+($C$40*I68)+($D$40*J68)</f>
        <v>821795.49470097</v>
      </c>
      <c r="I68" s="9" t="n">
        <f aca="false">F68+(F68*U21)</f>
        <v>14487.5834449081</v>
      </c>
      <c r="J68" s="9" t="n">
        <f aca="false">G68+(G68*U21)</f>
        <v>97156.6493347548</v>
      </c>
      <c r="K68" s="9" t="n">
        <f aca="false">$B$40+($C$40*L68)+($D$40*M68)</f>
        <v>824515.368401682</v>
      </c>
      <c r="L68" s="9" t="n">
        <f aca="false">I68+(I68*U21)</f>
        <v>14400.8274328899</v>
      </c>
      <c r="M68" s="9" t="n">
        <f aca="false">J68+(J68*V21)</f>
        <v>97492.3480909851</v>
      </c>
    </row>
    <row r="69" customFormat="false" ht="15" hidden="false" customHeight="false" outlineLevel="0" collapsed="false">
      <c r="A69" s="149" t="s">
        <v>132</v>
      </c>
      <c r="B69" s="9" t="n">
        <f aca="false">$B$40+($C$40*C69)+($D$40*D69)</f>
        <v>1074686.41292111</v>
      </c>
      <c r="C69" s="9" t="n">
        <f aca="false">M22+(M22*U22)</f>
        <v>6055.79055245721</v>
      </c>
      <c r="D69" s="9" t="n">
        <f aca="false">S22+(S22*V22)</f>
        <v>128379.93289641</v>
      </c>
      <c r="E69" s="9" t="n">
        <f aca="false">$B$40+($C$40*F69)+($D$40*G69)</f>
        <v>1075415.78359684</v>
      </c>
      <c r="F69" s="9" t="n">
        <f aca="false">C69+(C69*U22)</f>
        <v>6103.96125419941</v>
      </c>
      <c r="G69" s="9" t="n">
        <f aca="false">D69+(D69*V22)</f>
        <v>128467.926063096</v>
      </c>
      <c r="H69" s="9" t="n">
        <f aca="false">$B$40+($C$40*I69)+($D$40*J69)</f>
        <v>1083767.79581808</v>
      </c>
      <c r="I69" s="9" t="n">
        <f aca="false">F69+(F69*U22)</f>
        <v>6152.51512911879</v>
      </c>
      <c r="J69" s="9" t="n">
        <f aca="false">G69+(G69*U22)</f>
        <v>129489.822394585</v>
      </c>
      <c r="K69" s="9" t="n">
        <f aca="false">$B$40+($C$40*L69)+($D$40*M69)</f>
        <v>1084503.55397934</v>
      </c>
      <c r="L69" s="9" t="n">
        <f aca="false">I69+(I69*U22)</f>
        <v>6201.45522516106</v>
      </c>
      <c r="M69" s="9" t="n">
        <f aca="false">J69+(J69*V22)</f>
        <v>129578.576293026</v>
      </c>
    </row>
    <row r="70" customFormat="false" ht="15" hidden="false" customHeight="false" outlineLevel="0" collapsed="false">
      <c r="A70" s="149" t="s">
        <v>133</v>
      </c>
      <c r="B70" s="9" t="n">
        <f aca="false">$B$40+($C$40*C70)+($D$40*D70)</f>
        <v>35428114.5312396</v>
      </c>
      <c r="C70" s="9" t="n">
        <f aca="false">M23+(M23*U23)</f>
        <v>182703.413271898</v>
      </c>
      <c r="D70" s="9" t="n">
        <f aca="false">S23+(S23*V23)</f>
        <v>4332290.61115392</v>
      </c>
      <c r="E70" s="9" t="n">
        <f aca="false">$B$40+($C$40*F70)+($D$40*G70)</f>
        <v>35464093.9917092</v>
      </c>
      <c r="F70" s="9" t="n">
        <f aca="false">C70+(C70*U23)</f>
        <v>183163.984664526</v>
      </c>
      <c r="G70" s="9" t="n">
        <f aca="false">D70+(D70*V23)</f>
        <v>4336685.67653883</v>
      </c>
      <c r="H70" s="9" t="n">
        <f aca="false">$B$40+($C$40*I70)+($D$40*J70)</f>
        <v>35553430.1984512</v>
      </c>
      <c r="I70" s="9" t="n">
        <f aca="false">F70+(F70*U23)</f>
        <v>183625.717097355</v>
      </c>
      <c r="J70" s="9" t="n">
        <f aca="false">G70+(G70*U23)</f>
        <v>4347617.89354378</v>
      </c>
      <c r="K70" s="9" t="n">
        <f aca="false">$B$40+($C$40*L70)+($D$40*M70)</f>
        <v>35589537.1124914</v>
      </c>
      <c r="L70" s="9" t="n">
        <f aca="false">I70+(I70*U23)</f>
        <v>184088.613497216</v>
      </c>
      <c r="M70" s="9" t="n">
        <f aca="false">J70+(J70*V23)</f>
        <v>4352028.50830299</v>
      </c>
    </row>
    <row r="71" customFormat="false" ht="15" hidden="false" customHeight="false" outlineLevel="0" collapsed="false">
      <c r="A71" s="149" t="s">
        <v>134</v>
      </c>
      <c r="B71" s="9" t="n">
        <f aca="false">$B$40+($C$40*C71)+($D$40*D71)</f>
        <v>18260241.954681</v>
      </c>
      <c r="C71" s="9" t="n">
        <f aca="false">M24+(M24*U24)</f>
        <v>2583.15626861352</v>
      </c>
      <c r="D71" s="9" t="n">
        <f aca="false">S24+(S24*V24)</f>
        <v>2234025.78890692</v>
      </c>
      <c r="E71" s="9" t="n">
        <f aca="false">$B$40+($C$40*F71)+($D$40*G71)</f>
        <v>19287188.2820668</v>
      </c>
      <c r="F71" s="9" t="n">
        <f aca="false">C71+(C71*U24)</f>
        <v>2611.62282116529</v>
      </c>
      <c r="G71" s="9" t="n">
        <f aca="false">D71+(D71*V24)</f>
        <v>2359844.82851612</v>
      </c>
      <c r="H71" s="9" t="n">
        <f aca="false">$B$40+($C$40*I71)+($D$40*J71)</f>
        <v>19499454.0115985</v>
      </c>
      <c r="I71" s="9" t="n">
        <f aca="false">F71+(F71*U24)</f>
        <v>2640.40307700479</v>
      </c>
      <c r="J71" s="9" t="n">
        <f aca="false">G71+(G71*U24)</f>
        <v>2385850.47426091</v>
      </c>
      <c r="K71" s="9" t="n">
        <f aca="false">$B$40+($C$40*L71)+($D$40*M71)</f>
        <v>20596191.4437256</v>
      </c>
      <c r="L71" s="9" t="n">
        <f aca="false">I71+(I71*U24)</f>
        <v>2669.50049316296</v>
      </c>
      <c r="M71" s="9" t="n">
        <f aca="false">J71+(J71*V24)</f>
        <v>2520220.1922889</v>
      </c>
    </row>
    <row r="72" customFormat="false" ht="15" hidden="false" customHeight="false" outlineLevel="0" collapsed="false">
      <c r="A72" s="149" t="s">
        <v>135</v>
      </c>
      <c r="B72" s="9" t="n">
        <f aca="false">$B$40+($C$40*C72)+($D$40*D72)</f>
        <v>12660769.8182179</v>
      </c>
      <c r="C72" s="9" t="n">
        <f aca="false">M25+(M25*U25)</f>
        <v>35755.5483018876</v>
      </c>
      <c r="D72" s="9" t="n">
        <f aca="false">S25+(S25*V25)</f>
        <v>1547045.08601632</v>
      </c>
      <c r="E72" s="9" t="n">
        <f aca="false">$B$40+($C$40*F72)+($D$40*G72)</f>
        <v>12712749.285873</v>
      </c>
      <c r="F72" s="9" t="n">
        <f aca="false">C72+(C72*U25)</f>
        <v>35231.8801325163</v>
      </c>
      <c r="G72" s="9" t="n">
        <f aca="false">D72+(D72*V25)</f>
        <v>1553428.40222501</v>
      </c>
      <c r="H72" s="9" t="n">
        <f aca="false">$B$40+($C$40*I72)+($D$40*J72)</f>
        <v>12526933.6578601</v>
      </c>
      <c r="I72" s="9" t="n">
        <f aca="false">F72+(F72*U25)</f>
        <v>34715.8814959765</v>
      </c>
      <c r="J72" s="9" t="n">
        <f aca="false">G72+(G72*U25)</f>
        <v>1530677.21964561</v>
      </c>
      <c r="K72" s="9" t="n">
        <f aca="false">$B$40+($C$40*L72)+($D$40*M72)</f>
        <v>12578365.4239185</v>
      </c>
      <c r="L72" s="9" t="n">
        <f aca="false">I72+(I72*U25)</f>
        <v>34207.4400659188</v>
      </c>
      <c r="M72" s="9" t="n">
        <f aca="false">J72+(J72*V25)</f>
        <v>1536992.99983505</v>
      </c>
    </row>
    <row r="73" customFormat="false" ht="15" hidden="false" customHeight="false" outlineLevel="0" collapsed="false">
      <c r="A73" s="149" t="s">
        <v>136</v>
      </c>
      <c r="B73" s="9" t="n">
        <f aca="false">$B$40+($C$40*C73)+($D$40*D73)</f>
        <v>86085284.920134</v>
      </c>
      <c r="C73" s="9" t="n">
        <f aca="false">M26+(M26*U26)</f>
        <v>210403.664735568</v>
      </c>
      <c r="D73" s="9" t="n">
        <f aca="false">S26+(S26*V26)</f>
        <v>10537940.654895</v>
      </c>
      <c r="E73" s="9" t="n">
        <f aca="false">$B$40+($C$40*F73)+($D$40*G73)</f>
        <v>86314395.4636502</v>
      </c>
      <c r="F73" s="9" t="n">
        <f aca="false">C73+(C73*U26)</f>
        <v>210192.541529127</v>
      </c>
      <c r="G73" s="9" t="n">
        <f aca="false">D73+(D73*V26)</f>
        <v>10566016.9146643</v>
      </c>
      <c r="H73" s="9" t="n">
        <f aca="false">$B$40+($C$40*I73)+($D$40*J73)</f>
        <v>86227811.4165829</v>
      </c>
      <c r="I73" s="9" t="n">
        <f aca="false">F73+(F73*U26)</f>
        <v>209981.630167896</v>
      </c>
      <c r="J73" s="9" t="n">
        <f aca="false">G73+(G73*U26)</f>
        <v>10555414.7639216</v>
      </c>
      <c r="K73" s="9" t="n">
        <f aca="false">$B$40+($C$40*L73)+($D$40*M73)</f>
        <v>86457302.0526169</v>
      </c>
      <c r="L73" s="9" t="n">
        <f aca="false">I73+(I73*U26)</f>
        <v>209770.930439303</v>
      </c>
      <c r="M73" s="9" t="n">
        <f aca="false">J73+(J73*V26)</f>
        <v>10583537.5800002</v>
      </c>
    </row>
    <row r="74" customFormat="false" ht="15" hidden="false" customHeight="false" outlineLevel="0" collapsed="false">
      <c r="A74" s="149" t="s">
        <v>137</v>
      </c>
      <c r="B74" s="9" t="n">
        <f aca="false">$B$40+($C$40*C74)+($D$40*D74)</f>
        <v>23862432.9818331</v>
      </c>
      <c r="C74" s="9" t="n">
        <f aca="false">M27+(M27*U27)</f>
        <v>85636.692141578</v>
      </c>
      <c r="D74" s="9" t="n">
        <f aca="false">S27+(S27*V27)</f>
        <v>2918038.46895775</v>
      </c>
      <c r="E74" s="9" t="n">
        <f aca="false">$B$40+($C$40*F74)+($D$40*G74)</f>
        <v>23841395.3252915</v>
      </c>
      <c r="F74" s="9" t="n">
        <f aca="false">C74+(C74*U27)</f>
        <v>87666.3762755087</v>
      </c>
      <c r="G74" s="9" t="n">
        <f aca="false">D74+(D74*V27)</f>
        <v>2915403.31975108</v>
      </c>
      <c r="H74" s="9" t="n">
        <f aca="false">$B$40+($C$40*I74)+($D$40*J74)</f>
        <v>24405859.7392402</v>
      </c>
      <c r="I74" s="9" t="n">
        <f aca="false">F74+(F74*U27)</f>
        <v>89744.1661638831</v>
      </c>
      <c r="J74" s="9" t="n">
        <f aca="false">G74+(G74*U27)</f>
        <v>2984501.59660097</v>
      </c>
      <c r="K74" s="9" t="n">
        <f aca="false">$B$40+($C$40*L74)+($D$40*M74)</f>
        <v>24384354.7668437</v>
      </c>
      <c r="L74" s="9" t="n">
        <f aca="false">I74+(I74*U27)</f>
        <v>91871.201966183</v>
      </c>
      <c r="M74" s="9" t="n">
        <f aca="false">J74+(J74*V27)</f>
        <v>2981806.42753509</v>
      </c>
    </row>
    <row r="75" customFormat="false" ht="15" hidden="false" customHeight="false" outlineLevel="0" collapsed="false">
      <c r="A75" s="149" t="s">
        <v>138</v>
      </c>
      <c r="B75" s="9" t="n">
        <f aca="false">$B$40+($C$40*C75)+($D$40*D75)</f>
        <v>41827759.0434795</v>
      </c>
      <c r="C75" s="9" t="n">
        <f aca="false">M28+(M28*U28)</f>
        <v>145899.926269633</v>
      </c>
      <c r="D75" s="9" t="n">
        <f aca="false">S28+(S28*V28)</f>
        <v>5117410.30757481</v>
      </c>
      <c r="E75" s="9" t="n">
        <f aca="false">$B$40+($C$40*F75)+($D$40*G75)</f>
        <v>41789425.9475528</v>
      </c>
      <c r="F75" s="9" t="n">
        <f aca="false">C75+(C75*U28)</f>
        <v>146281.84969306</v>
      </c>
      <c r="G75" s="9" t="n">
        <f aca="false">D75+(D75*V28)</f>
        <v>5112702.9492997</v>
      </c>
      <c r="H75" s="9" t="n">
        <f aca="false">$B$40+($C$40*I75)+($D$40*J75)</f>
        <v>41898751.8713584</v>
      </c>
      <c r="I75" s="9" t="n">
        <f aca="false">F75+(F75*U28)</f>
        <v>146664.772880538</v>
      </c>
      <c r="J75" s="9" t="n">
        <f aca="false">G75+(G75*U28)</f>
        <v>5126086.51338562</v>
      </c>
      <c r="K75" s="9" t="n">
        <f aca="false">$B$40+($C$40*L75)+($D$40*M75)</f>
        <v>41860354.0984236</v>
      </c>
      <c r="L75" s="9" t="n">
        <f aca="false">I75+(I75*U28)</f>
        <v>147048.698449158</v>
      </c>
      <c r="M75" s="9" t="n">
        <f aca="false">J75+(J75*V28)</f>
        <v>5121371.17411881</v>
      </c>
    </row>
    <row r="76" customFormat="false" ht="15" hidden="false" customHeight="false" outlineLevel="0" collapsed="false">
      <c r="A76" s="152" t="s">
        <v>139</v>
      </c>
      <c r="B76" s="9" t="n">
        <f aca="false">$B$40+($C$40*C76)+($D$40*D76)</f>
        <v>13550883.4503718</v>
      </c>
      <c r="C76" s="9" t="n">
        <f aca="false">M29+(M29*U29)</f>
        <v>60215.2817140156</v>
      </c>
      <c r="D76" s="9" t="n">
        <f aca="false">S29+(S29*V29)</f>
        <v>1655405.68372032</v>
      </c>
      <c r="E76" s="9" t="n">
        <f aca="false">$B$40+($C$40*F76)+($D$40*G76)</f>
        <v>13538449.3221791</v>
      </c>
      <c r="F76" s="9" t="n">
        <f aca="false">C76+(C76*U29)</f>
        <v>60268.1097344403</v>
      </c>
      <c r="G76" s="9" t="n">
        <f aca="false">D76+(D76*V29)</f>
        <v>1653880.77343763</v>
      </c>
      <c r="H76" s="9" t="n">
        <f aca="false">$B$40+($C$40*I76)+($D$40*J76)</f>
        <v>13550304.5435664</v>
      </c>
      <c r="I76" s="9" t="n">
        <f aca="false">F76+(F76*U29)</f>
        <v>60320.9841018996</v>
      </c>
      <c r="J76" s="9" t="n">
        <f aca="false">G76+(G76*U29)</f>
        <v>1655331.75472995</v>
      </c>
      <c r="K76" s="9" t="n">
        <f aca="false">$B$40+($C$40*L76)+($D$40*M76)</f>
        <v>13537870.9927162</v>
      </c>
      <c r="L76" s="9" t="n">
        <f aca="false">I76+(I76*U29)</f>
        <v>60373.9048570545</v>
      </c>
      <c r="M76" s="9" t="n">
        <f aca="false">J76+(J76*V29)</f>
        <v>1653806.91254843</v>
      </c>
    </row>
    <row r="77" customFormat="false" ht="15" hidden="false" customHeight="false" outlineLevel="0" collapsed="false">
      <c r="A77" s="149" t="s">
        <v>140</v>
      </c>
      <c r="B77" s="9" t="n">
        <f aca="false">$B$40+($C$40*C77)+($D$40*D77)</f>
        <v>14683450.4009913</v>
      </c>
      <c r="C77" s="9" t="n">
        <f aca="false">M30+(M30*U30)</f>
        <v>6768.76172076857</v>
      </c>
      <c r="D77" s="9" t="n">
        <f aca="false">S30+(S30*V30)</f>
        <v>1795684.03306345</v>
      </c>
      <c r="E77" s="9" t="n">
        <f aca="false">$B$40+($C$40*F77)+($D$40*G77)</f>
        <v>14780720.9075334</v>
      </c>
      <c r="F77" s="9" t="n">
        <f aca="false">C77+(C77*U30)</f>
        <v>6762.52918561503</v>
      </c>
      <c r="G77" s="9" t="n">
        <f aca="false">D77+(D77*V30)</f>
        <v>1807601.63949168</v>
      </c>
      <c r="H77" s="9" t="n">
        <f aca="false">$B$40+($C$40*I77)+($D$40*J77)</f>
        <v>14767134.5520962</v>
      </c>
      <c r="I77" s="9" t="n">
        <f aca="false">F77+(F77*U30)</f>
        <v>6756.30238925037</v>
      </c>
      <c r="J77" s="9" t="n">
        <f aca="false">G77+(G77*U30)</f>
        <v>1805937.23745974</v>
      </c>
      <c r="K77" s="9" t="n">
        <f aca="false">$B$40+($C$40*L77)+($D$40*M77)</f>
        <v>14864960.4759373</v>
      </c>
      <c r="L77" s="9" t="n">
        <f aca="false">I77+(I77*U30)</f>
        <v>6750.08132639042</v>
      </c>
      <c r="M77" s="9" t="n">
        <f aca="false">J77+(J77*V30)</f>
        <v>1817922.89241564</v>
      </c>
    </row>
    <row r="78" customFormat="false" ht="15" hidden="false" customHeight="false" outlineLevel="0" collapsed="false">
      <c r="A78" s="149" t="s">
        <v>141</v>
      </c>
      <c r="B78" s="9" t="n">
        <f aca="false">$B$40+($C$40*C78)+($D$40*D78)</f>
        <v>5463515.2556614</v>
      </c>
      <c r="C78" s="9" t="n">
        <f aca="false">M31+(M31*U31)</f>
        <v>36998.6487421082</v>
      </c>
      <c r="D78" s="9" t="n">
        <f aca="false">S31+(S31*V31)</f>
        <v>665213.474363272</v>
      </c>
      <c r="E78" s="9" t="n">
        <f aca="false">$B$40+($C$40*F78)+($D$40*G78)</f>
        <v>5470300.43627366</v>
      </c>
      <c r="F78" s="9" t="n">
        <f aca="false">C78+(C78*U31)</f>
        <v>37909.1666779812</v>
      </c>
      <c r="G78" s="9" t="n">
        <f aca="false">D78+(D78*V31)</f>
        <v>666018.922793724</v>
      </c>
      <c r="H78" s="9" t="n">
        <f aca="false">$B$40+($C$40*I78)+($D$40*J78)</f>
        <v>5604295.66634045</v>
      </c>
      <c r="I78" s="9" t="n">
        <f aca="false">F78+(F78*U31)</f>
        <v>38842.0919973596</v>
      </c>
      <c r="J78" s="9" t="n">
        <f aca="false">G78+(G78*U31)</f>
        <v>682409.309887628</v>
      </c>
      <c r="K78" s="9" t="n">
        <f aca="false">$B$40+($C$40*L78)+($D$40*M78)</f>
        <v>5611261.30510283</v>
      </c>
      <c r="L78" s="9" t="n">
        <f aca="false">I78+(I78*U31)</f>
        <v>39797.9761345599</v>
      </c>
      <c r="M78" s="9" t="n">
        <f aca="false">J78+(J78*V31)</f>
        <v>683235.579241388</v>
      </c>
    </row>
    <row r="79" customFormat="false" ht="15" hidden="false" customHeight="false" outlineLevel="0" collapsed="false">
      <c r="A79" s="149" t="s">
        <v>12</v>
      </c>
      <c r="B79" s="9" t="n">
        <f aca="false">$B$40+($C$40*C79)+($D$40*D79)</f>
        <v>81034861.1172333</v>
      </c>
      <c r="C79" s="9" t="n">
        <f aca="false">M32+(M32*U32)</f>
        <v>472123.301122912</v>
      </c>
      <c r="D79" s="9" t="n">
        <f aca="false">S32+(S32*V32)</f>
        <v>9911737.11755006</v>
      </c>
      <c r="E79" s="9" t="n">
        <f aca="false">$B$40+($C$40*F79)+($D$40*G79)</f>
        <v>81143515.5224167</v>
      </c>
      <c r="F79" s="9" t="n">
        <f aca="false">C79+(C79*U32)</f>
        <v>476366.396383972</v>
      </c>
      <c r="G79" s="9" t="n">
        <f aca="false">D79+(D79*V32)</f>
        <v>9924928.76869294</v>
      </c>
      <c r="H79" s="9" t="n">
        <f aca="false">$B$40+($C$40*I79)+($D$40*J79)</f>
        <v>81872544.8206039</v>
      </c>
      <c r="I79" s="9" t="n">
        <f aca="false">F79+(F79*U32)</f>
        <v>480647.62544896</v>
      </c>
      <c r="J79" s="9" t="n">
        <f aca="false">G79+(G79*U32)</f>
        <v>10014126.6924655</v>
      </c>
      <c r="K79" s="9" t="n">
        <f aca="false">$B$40+($C$40*L79)+($D$40*M79)</f>
        <v>81982329.2392527</v>
      </c>
      <c r="L79" s="9" t="n">
        <f aca="false">I79+(I79*U32)</f>
        <v>484967.331036318</v>
      </c>
      <c r="M79" s="9" t="n">
        <f aca="false">J79+(J79*V32)</f>
        <v>10027454.6151354</v>
      </c>
    </row>
    <row r="80" customFormat="false" ht="15" hidden="false" customHeight="false" outlineLevel="0" collapsed="false">
      <c r="A80" s="149" t="s">
        <v>142</v>
      </c>
      <c r="B80" s="9" t="n">
        <f aca="false">$B$40+($C$40*C80)+($D$40*D80)</f>
        <v>22551666.0384818</v>
      </c>
      <c r="C80" s="9" t="n">
        <f aca="false">M33+(M33*U33)</f>
        <v>81378.6723919009</v>
      </c>
      <c r="D80" s="9" t="n">
        <f aca="false">S33+(S33*V33)</f>
        <v>2757566.30505156</v>
      </c>
      <c r="E80" s="9" t="n">
        <f aca="false">$B$40+($C$40*F80)+($D$40*G80)</f>
        <v>22573434.4439436</v>
      </c>
      <c r="F80" s="9" t="n">
        <f aca="false">C80+(C80*U33)</f>
        <v>80255.0755019309</v>
      </c>
      <c r="G80" s="9" t="n">
        <f aca="false">D80+(D80*V33)</f>
        <v>2760265.24908824</v>
      </c>
      <c r="H80" s="9" t="n">
        <f aca="false">$B$40+($C$40*I80)+($D$40*J80)</f>
        <v>22262113.8619804</v>
      </c>
      <c r="I80" s="9" t="n">
        <f aca="false">F80+(F80*U33)</f>
        <v>79146.9921357632</v>
      </c>
      <c r="J80" s="9" t="n">
        <f aca="false">G80+(G80*U33)</f>
        <v>2722154.21387214</v>
      </c>
      <c r="K80" s="9" t="n">
        <f aca="false">$B$40+($C$40*L80)+($D$40*M80)</f>
        <v>22283606.5202979</v>
      </c>
      <c r="L80" s="9" t="n">
        <f aca="false">I80+(I80*U33)</f>
        <v>78054.2080978772</v>
      </c>
      <c r="M80" s="9" t="n">
        <f aca="false">J80+(J80*V33)</f>
        <v>2724818.49863258</v>
      </c>
    </row>
    <row r="81" customFormat="false" ht="15" hidden="false" customHeight="false" outlineLevel="0" collapsed="false">
      <c r="A81" s="149" t="s">
        <v>143</v>
      </c>
      <c r="B81" s="9" t="n">
        <f aca="false">$B$40+($C$40*C81)+($D$40*D81)</f>
        <v>25498882.5028976</v>
      </c>
      <c r="C81" s="9" t="n">
        <f aca="false">M34+(M34*U34)</f>
        <v>138375.525643991</v>
      </c>
      <c r="D81" s="9" t="n">
        <f aca="false">S34+(S34*V34)</f>
        <v>3117035.76094471</v>
      </c>
      <c r="E81" s="9" t="n">
        <f aca="false">$B$40+($C$40*F81)+($D$40*G81)</f>
        <v>25546100.8865366</v>
      </c>
      <c r="F81" s="9" t="n">
        <f aca="false">C81+(C81*U34)</f>
        <v>137974.218516269</v>
      </c>
      <c r="G81" s="9" t="n">
        <f aca="false">D81+(D81*V34)</f>
        <v>3122832.28124006</v>
      </c>
      <c r="H81" s="9" t="n">
        <f aca="false">$B$40+($C$40*I81)+($D$40*J81)</f>
        <v>25472087.633179</v>
      </c>
      <c r="I81" s="9" t="n">
        <f aca="false">F81+(F81*U34)</f>
        <v>137574.075231719</v>
      </c>
      <c r="J81" s="9" t="n">
        <f aca="false">G81+(G81*U34)</f>
        <v>3113775.65907144</v>
      </c>
      <c r="K81" s="9" t="n">
        <f aca="false">$B$40+($C$40*L81)+($D$40*M81)</f>
        <v>25519257.072728</v>
      </c>
      <c r="L81" s="9" t="n">
        <f aca="false">I81+(I81*U34)</f>
        <v>137175.092415045</v>
      </c>
      <c r="M81" s="9" t="n">
        <f aca="false">J81+(J81*V34)</f>
        <v>3119566.11679706</v>
      </c>
    </row>
    <row r="82" customFormat="false" ht="15" hidden="false" customHeight="false" outlineLevel="0" collapsed="false">
      <c r="A82" s="149" t="s">
        <v>144</v>
      </c>
      <c r="B82" s="9" t="n">
        <f aca="false">$B$40+($C$40*C82)+($D$40*D82)</f>
        <v>117092864.319289</v>
      </c>
      <c r="C82" s="9" t="n">
        <f aca="false">M35+(M35*U35)</f>
        <v>60215.2817140156</v>
      </c>
      <c r="D82" s="9" t="n">
        <f aca="false">S35+(S35*V35)</f>
        <v>14341206.2571372</v>
      </c>
      <c r="E82" s="9" t="n">
        <f aca="false">$B$40+($C$40*F82)+($D$40*G82)</f>
        <v>117531010.099422</v>
      </c>
      <c r="F82" s="9" t="n">
        <f aca="false">C82+(C82*U35)</f>
        <v>60268.1097344403</v>
      </c>
      <c r="G82" s="9" t="n">
        <f aca="false">D82+(D82*V35)</f>
        <v>14394885.6882379</v>
      </c>
      <c r="H82" s="9" t="n">
        <f aca="false">$B$40+($C$40*I82)+($D$40*J82)</f>
        <v>117634099.986967</v>
      </c>
      <c r="I82" s="9" t="n">
        <f aca="false">F82+(F82*U35)</f>
        <v>60320.9841018996</v>
      </c>
      <c r="J82" s="9" t="n">
        <f aca="false">G82+(G82*U35)</f>
        <v>14407514.5972707</v>
      </c>
      <c r="K82" s="9" t="n">
        <f aca="false">$B$40+($C$40*L82)+($D$40*M82)</f>
        <v>118074271.553156</v>
      </c>
      <c r="L82" s="9" t="n">
        <f aca="false">I82+(I82*U35)</f>
        <v>60373.9048570545</v>
      </c>
      <c r="M82" s="9" t="n">
        <f aca="false">J82+(J82*V35)</f>
        <v>14461442.2218575</v>
      </c>
    </row>
    <row r="83" customFormat="false" ht="15" hidden="false" customHeight="false" outlineLevel="0" collapsed="false">
      <c r="A83" s="149" t="s">
        <v>145</v>
      </c>
      <c r="B83" s="9" t="n">
        <f aca="false">$B$40+($C$40*C83)+($D$40*D83)</f>
        <v>16341367.7125602</v>
      </c>
      <c r="C83" s="9" t="n">
        <f aca="false">M36+(M36*U36)</f>
        <v>56254.0808111694</v>
      </c>
      <c r="D83" s="9" t="n">
        <f aca="false">S36+(S36*V36)</f>
        <v>1997403.93375014</v>
      </c>
      <c r="E83" s="9" t="n">
        <f aca="false">$B$40+($C$40*F83)+($D$40*G83)</f>
        <v>15434682.9158808</v>
      </c>
      <c r="F83" s="9" t="n">
        <f aca="false">C83+(C83*U36)</f>
        <v>52599.5696307431</v>
      </c>
      <c r="G83" s="9" t="n">
        <f aca="false">D83+(D83*V36)</f>
        <v>1886422.13732492</v>
      </c>
      <c r="H83" s="9" t="n">
        <f aca="false">$B$40+($C$40*I83)+($D$40*J83)</f>
        <v>14433631.1316099</v>
      </c>
      <c r="I83" s="9" t="n">
        <f aca="false">F83+(F83*U36)</f>
        <v>49182.4714837408</v>
      </c>
      <c r="J83" s="9" t="n">
        <f aca="false">G83+(G83*U36)</f>
        <v>1763871.90288061</v>
      </c>
      <c r="K83" s="9" t="n">
        <f aca="false">$B$40+($C$40*L83)+($D$40*M83)</f>
        <v>13632961.3546736</v>
      </c>
      <c r="L83" s="9" t="n">
        <f aca="false">I83+(I83*U36)</f>
        <v>45987.3629809165</v>
      </c>
      <c r="M83" s="9" t="n">
        <f aca="false">J83+(J83*V36)</f>
        <v>1665865.85155672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8" activeCellId="0" sqref="1:1048576"/>
    </sheetView>
  </sheetViews>
  <sheetFormatPr defaultColWidth="8.59765625" defaultRowHeight="15" customHeight="false" zeroHeight="false" outlineLevelRow="0" outlineLevelCol="0"/>
  <cols>
    <col collapsed="false" customWidth="true" hidden="false" outlineLevel="0" max="1" min="1" style="0" width="42.14"/>
    <col collapsed="false" customWidth="true" hidden="false" outlineLevel="0" max="2" min="2" style="0" width="18.86"/>
    <col collapsed="false" customWidth="true" hidden="false" outlineLevel="0" max="3" min="3" style="0" width="19.15"/>
    <col collapsed="false" customWidth="true" hidden="false" outlineLevel="0" max="4" min="4" style="0" width="18.71"/>
  </cols>
  <sheetData>
    <row r="1" customFormat="false" ht="15" hidden="false" customHeight="false" outlineLevel="0" collapsed="false">
      <c r="B1" s="162" t="s">
        <v>261</v>
      </c>
      <c r="C1" s="162" t="s">
        <v>262</v>
      </c>
      <c r="D1" s="162" t="s">
        <v>263</v>
      </c>
    </row>
    <row r="2" customFormat="false" ht="15" hidden="false" customHeight="false" outlineLevel="0" collapsed="false">
      <c r="A2" s="0" t="s">
        <v>175</v>
      </c>
      <c r="B2" s="163" t="n">
        <v>0.692221069267513</v>
      </c>
      <c r="C2" s="163" t="n">
        <v>0.70705024530351</v>
      </c>
      <c r="D2" s="163" t="n">
        <v>0.697169021142979</v>
      </c>
    </row>
    <row r="3" customFormat="false" ht="15" hidden="false" customHeight="false" outlineLevel="0" collapsed="false">
      <c r="A3" s="0" t="s">
        <v>176</v>
      </c>
      <c r="B3" s="0" t="n">
        <v>56549.1563178619</v>
      </c>
      <c r="C3" s="0" t="n">
        <v>55170.0345534807</v>
      </c>
      <c r="D3" s="0" t="n">
        <v>56092.7635052733</v>
      </c>
    </row>
    <row r="4" customFormat="false" ht="15" hidden="false" customHeight="false" outlineLevel="0" collapsed="false">
      <c r="A4" s="0" t="s">
        <v>264</v>
      </c>
      <c r="B4" s="0" t="n">
        <v>3.16053687430551E-007</v>
      </c>
      <c r="C4" s="0" t="n">
        <v>5.11243814586287E-009</v>
      </c>
      <c r="D4" s="0" t="n">
        <v>1.89645169869685E-009</v>
      </c>
    </row>
    <row r="5" customFormat="false" ht="16.4" hidden="false" customHeight="false" outlineLevel="0" collapsed="false">
      <c r="A5" s="0" t="s">
        <v>194</v>
      </c>
      <c r="B5" s="0" t="n">
        <v>0.0951434316342976</v>
      </c>
      <c r="C5" s="0" t="n">
        <v>0.111978824124763</v>
      </c>
      <c r="D5" s="127" t="n">
        <v>0.0402822640464252</v>
      </c>
    </row>
    <row r="6" customFormat="false" ht="16.4" hidden="false" customHeight="false" outlineLevel="0" collapsed="false">
      <c r="A6" s="0" t="s">
        <v>110</v>
      </c>
      <c r="B6" s="0" t="n">
        <v>0.142002681981736</v>
      </c>
      <c r="C6" s="113" t="n">
        <v>2.78327217737096E-006</v>
      </c>
      <c r="D6" s="127" t="n">
        <v>2.05865090730048E-007</v>
      </c>
    </row>
    <row r="7" customFormat="false" ht="16.4" hidden="false" customHeight="false" outlineLevel="0" collapsed="false">
      <c r="A7" s="0" t="s">
        <v>111</v>
      </c>
      <c r="B7" s="0" t="n">
        <v>0.119937516681714</v>
      </c>
      <c r="C7" s="0" t="n">
        <v>0.159329839234865</v>
      </c>
    </row>
    <row r="8" customFormat="false" ht="16.4" hidden="false" customHeight="false" outlineLevel="0" collapsed="false">
      <c r="A8" s="0" t="s">
        <v>112</v>
      </c>
      <c r="B8" s="0" t="n">
        <v>0.137113847397159</v>
      </c>
      <c r="C8" s="122" t="n">
        <v>3.94214797337929E-005</v>
      </c>
      <c r="D8" s="129" t="n">
        <v>8.66367146334465E-005</v>
      </c>
    </row>
    <row r="9" customFormat="false" ht="16.4" hidden="false" customHeight="false" outlineLevel="0" collapsed="false">
      <c r="A9" s="0" t="s">
        <v>113</v>
      </c>
      <c r="B9" s="0" t="n">
        <v>0.438055671513501</v>
      </c>
    </row>
    <row r="10" customFormat="false" ht="16.4" hidden="false" customHeight="false" outlineLevel="0" collapsed="false">
      <c r="A10" s="0" t="s">
        <v>114</v>
      </c>
      <c r="B10" s="0" t="n">
        <v>0.366699057393205</v>
      </c>
    </row>
    <row r="11" customFormat="false" ht="16.4" hidden="false" customHeight="false" outlineLevel="0" collapsed="false">
      <c r="A11" s="108" t="s">
        <v>115</v>
      </c>
      <c r="B11" s="108" t="n">
        <v>0.600657436432868</v>
      </c>
    </row>
    <row r="14" customFormat="false" ht="15" hidden="false" customHeight="false" outlineLevel="0" collapsed="false">
      <c r="A14" s="164"/>
    </row>
  </sheetData>
  <conditionalFormatting sqref="D8">
    <cfRule type="cellIs" priority="2" operator="lessThan" aboveAverage="0" equalAverage="0" bottom="0" percent="0" rank="0" text="" dxfId="7">
      <formula>0.05</formula>
    </cfRule>
    <cfRule type="cellIs" priority="3" operator="greaterThan" aboveAverage="0" equalAverage="0" bottom="0" percent="0" rank="0" text="" dxfId="8">
      <formula>0.05</formula>
    </cfRule>
  </conditionalFormatting>
  <conditionalFormatting sqref="D5:D6">
    <cfRule type="cellIs" priority="4" operator="lessThan" aboveAverage="0" equalAverage="0" bottom="0" percent="0" rank="0" text="" dxfId="9">
      <formula>0.05</formula>
    </cfRule>
    <cfRule type="cellIs" priority="5" operator="greaterThan" aboveAverage="0" equalAverage="0" bottom="0" percent="0" rank="0" text="" dxfId="10">
      <formula>0.05</formula>
    </cfRule>
  </conditionalFormatting>
  <conditionalFormatting sqref="C5:C8">
    <cfRule type="cellIs" priority="6" operator="greaterThan" aboveAverage="0" equalAverage="0" bottom="0" percent="0" rank="0" text="" dxfId="11">
      <formula>0.05</formula>
    </cfRule>
  </conditionalFormatting>
  <conditionalFormatting sqref="B5:B11">
    <cfRule type="cellIs" priority="7" operator="greaterThan" aboveAverage="0" equalAverage="0" bottom="0" percent="0" rank="0" text="" dxfId="12">
      <formula>0.05</formula>
    </cfRule>
    <cfRule type="cellIs" priority="8" operator="greaterThan" aboveAverage="0" equalAverage="0" bottom="0" percent="0" rank="0" text="" dxfId="13">
      <formula>0.05</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78e519dd-a12f-4177-92dc-9e3b3114761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1DDFF20F746544CBD0BBEFEF3E59A31" ma:contentTypeVersion="8" ma:contentTypeDescription="Create a new document." ma:contentTypeScope="" ma:versionID="5bf06ea2d96a5e00e90730b27c41490f">
  <xsd:schema xmlns:xsd="http://www.w3.org/2001/XMLSchema" xmlns:xs="http://www.w3.org/2001/XMLSchema" xmlns:p="http://schemas.microsoft.com/office/2006/metadata/properties" xmlns:ns3="54a8058e-c5b3-47c3-850d-a5f699e5c94e" xmlns:ns4="78e519dd-a12f-4177-92dc-9e3b3114761e" targetNamespace="http://schemas.microsoft.com/office/2006/metadata/properties" ma:root="true" ma:fieldsID="8a24f4bb3b865b88d60a2a0d33d52fe0" ns3:_="" ns4:_="">
    <xsd:import namespace="54a8058e-c5b3-47c3-850d-a5f699e5c94e"/>
    <xsd:import namespace="78e519dd-a12f-4177-92dc-9e3b3114761e"/>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SearchProperties" minOccurs="0"/>
                <xsd:element ref="ns4:MediaServiceObjectDetectorVersion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a8058e-c5b3-47c3-850d-a5f699e5c94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8e519dd-a12f-4177-92dc-9e3b3114761e"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_activity" ma:index="15"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18C422D-D394-4B28-8057-8396A6A6A5B9}"/>
</file>

<file path=customXml/itemProps2.xml><?xml version="1.0" encoding="utf-8"?>
<ds:datastoreItem xmlns:ds="http://schemas.openxmlformats.org/officeDocument/2006/customXml" ds:itemID="{BF695D79-4CF4-4DC7-9587-C3104BE02AFD}"/>
</file>

<file path=customXml/itemProps3.xml><?xml version="1.0" encoding="utf-8"?>
<ds:datastoreItem xmlns:ds="http://schemas.openxmlformats.org/officeDocument/2006/customXml" ds:itemID="{31FE322A-9EDA-4489-8C70-7C77FF04A1A6}"/>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2024-11-14T12:59:59Z</dcterms:created>
  <dc:creator>LIDIA SPITALERI</dc:creator>
  <dc:description/>
  <dc:language>it-IT</dc:language>
  <cp:lastModifiedBy/>
  <dcterms:modified xsi:type="dcterms:W3CDTF">2026-09-01T15:46:44Z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0x010100A1DDFF20F746544CBD0BBEFEF3E59A31</vt:lpwstr>
  </property>
</Properties>
</file>